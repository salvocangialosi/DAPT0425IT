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cang\Desktop\Studio\Epicode\Esercitazioni EXCEL\"/>
    </mc:Choice>
  </mc:AlternateContent>
  <xr:revisionPtr revIDLastSave="0" documentId="13_ncr:1_{95ECDBA0-74CC-44DD-B12F-07BABF592AF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9" i="3" l="1"/>
  <c r="I10" i="3"/>
  <c r="I11" i="3"/>
  <c r="I12" i="3"/>
  <c r="I13" i="3"/>
  <c r="I14" i="3"/>
  <c r="I8" i="3"/>
  <c r="I3" i="3"/>
  <c r="I4" i="3"/>
  <c r="I5" i="3"/>
  <c r="I2" i="3"/>
  <c r="H9" i="3"/>
  <c r="H10" i="3"/>
  <c r="H11" i="3"/>
  <c r="H12" i="3"/>
  <c r="H13" i="3"/>
  <c r="H14" i="3"/>
  <c r="H8" i="3"/>
  <c r="H3" i="3"/>
  <c r="H4" i="3"/>
  <c r="H5" i="3"/>
  <c r="H2" i="3"/>
  <c r="D3" i="2"/>
  <c r="D4" i="2"/>
  <c r="D5" i="2"/>
  <c r="D6" i="2"/>
  <c r="D7" i="2"/>
  <c r="D8" i="2"/>
  <c r="D2" i="2"/>
  <c r="C3" i="2" a="1"/>
  <c r="C3" i="2" s="1"/>
  <c r="C2" i="2" a="1"/>
  <c r="C2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<sst xmlns="http://schemas.openxmlformats.org/spreadsheetml/2006/main" count="825" uniqueCount="582">
  <si>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</si>
  <si>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</si>
  <si>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</si>
  <si>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</si>
  <si>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</si>
  <si>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</si>
  <si>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</si>
  <si>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</si>
  <si>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</si>
  <si>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</si>
  <si>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</si>
  <si>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</si>
  <si>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</si>
  <si>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</si>
  <si>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</si>
  <si>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</si>
  <si>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</si>
  <si>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</si>
  <si>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</si>
  <si>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</si>
  <si>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</si>
  <si>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</si>
  <si>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</si>
  <si>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</si>
  <si>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</si>
  <si>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</si>
  <si>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</si>
  <si>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</si>
  <si>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</si>
  <si>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</si>
  <si>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</si>
  <si>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</si>
  <si>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</si>
  <si>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</si>
  <si>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</si>
  <si>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</si>
  <si>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</si>
  <si>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</si>
  <si>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</si>
  <si>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</si>
  <si>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</si>
  <si>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</si>
  <si>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</si>
  <si>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</si>
  <si>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</si>
  <si>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</si>
  <si>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</si>
  <si>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</si>
  <si>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</si>
  <si>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</si>
  <si>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</si>
  <si>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</si>
  <si>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</si>
  <si>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</si>
  <si>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</si>
  <si>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</si>
  <si>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</si>
  <si>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</si>
  <si>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</si>
  <si>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</si>
  <si>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</si>
  <si>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</si>
  <si>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</si>
  <si>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</si>
  <si>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</si>
  <si>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</si>
  <si>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</si>
  <si>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</si>
  <si>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</si>
  <si>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</si>
  <si>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</si>
  <si>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</si>
  <si>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</si>
  <si>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</si>
  <si>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</si>
  <si>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</si>
  <si>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</si>
  <si>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</si>
  <si>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</si>
  <si>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</si>
  <si>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</si>
  <si>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</si>
  <si>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</si>
  <si>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</si>
  <si>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</si>
  <si>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</si>
  <si>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</si>
  <si>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</si>
  <si>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</si>
  <si>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</si>
  <si>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</si>
  <si>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</si>
  <si>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</si>
  <si>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</si>
  <si>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</si>
  <si>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</si>
  <si>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</si>
  <si>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</si>
  <si>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</si>
  <si>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</si>
  <si>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</si>
  <si>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</si>
  <si>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</si>
  <si>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</si>
  <si>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</si>
  <si>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</si>
  <si>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</si>
  <si>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</si>
  <si>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</si>
  <si>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</si>
  <si>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</si>
  <si>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</si>
  <si>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</si>
  <si>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</si>
  <si>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</si>
  <si>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</si>
  <si>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</si>
  <si>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</si>
  <si>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</si>
  <si>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</si>
  <si>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</si>
  <si>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</si>
  <si>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</si>
  <si>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</si>
  <si>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</si>
  <si>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</si>
  <si>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</si>
  <si>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</si>
  <si>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</si>
  <si>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</si>
  <si>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</si>
  <si>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</si>
  <si>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</si>
  <si>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</si>
  <si>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</si>
  <si>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</si>
  <si>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</si>
  <si>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</si>
  <si>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</si>
  <si>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</si>
  <si>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</si>
  <si>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</si>
  <si>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</si>
  <si>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</si>
  <si>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</si>
  <si>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</si>
  <si>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</si>
  <si>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</si>
  <si>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</si>
  <si>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</si>
  <si>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</si>
  <si>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</si>
  <si>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</si>
  <si>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</si>
  <si>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</si>
  <si>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</si>
  <si>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</si>
  <si>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</si>
  <si>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</si>
  <si>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</si>
  <si>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</si>
  <si>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</si>
  <si>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</si>
  <si>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</si>
  <si>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</si>
  <si>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</si>
  <si>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</si>
  <si>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</si>
  <si>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</si>
  <si>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</si>
  <si>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</si>
  <si>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</si>
  <si>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</si>
  <si>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</si>
  <si>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</si>
  <si>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</si>
  <si>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</si>
  <si>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</si>
  <si>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</si>
  <si>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</si>
  <si>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</si>
  <si>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</si>
  <si>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</si>
  <si>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</si>
  <si>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</si>
  <si>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</si>
  <si>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</si>
  <si>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</si>
  <si>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</si>
  <si>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</si>
  <si>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</si>
  <si>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</si>
  <si>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</si>
  <si>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</si>
  <si>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</si>
  <si>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</si>
  <si>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</si>
  <si>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</si>
  <si>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</si>
  <si>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</si>
  <si>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</si>
  <si>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</si>
  <si>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</si>
  <si>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</si>
  <si>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</si>
  <si>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</si>
  <si>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</si>
  <si>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</si>
  <si>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</si>
  <si>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</si>
  <si>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</si>
  <si>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</si>
  <si>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</si>
  <si>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</si>
  <si>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</si>
  <si>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</si>
  <si>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</si>
  <si>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</si>
  <si>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</si>
  <si>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</si>
  <si>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</si>
  <si>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</si>
  <si>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</si>
  <si>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</si>
  <si>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</si>
  <si>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</si>
  <si>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</si>
  <si>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</si>
  <si>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</si>
  <si>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</si>
  <si>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</si>
  <si>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</si>
  <si>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</si>
  <si>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</si>
  <si>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</si>
  <si>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</si>
  <si>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</si>
  <si>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</si>
  <si>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</si>
  <si>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</si>
  <si>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</si>
  <si>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</si>
  <si>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</si>
  <si>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</si>
  <si>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</si>
  <si>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</si>
  <si>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</si>
  <si>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</si>
  <si>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</si>
  <si>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</si>
  <si>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</si>
  <si>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</si>
  <si>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</si>
  <si>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</si>
  <si>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</si>
  <si>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</si>
  <si>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</si>
  <si>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</si>
  <si>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</si>
  <si>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</si>
  <si>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</si>
  <si>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</si>
  <si>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</si>
  <si>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</si>
  <si>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</si>
  <si>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</si>
  <si>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</si>
  <si>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</si>
  <si>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</si>
  <si>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</si>
  <si>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</si>
  <si>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</si>
  <si>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</si>
  <si>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</si>
  <si>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</si>
  <si>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</si>
  <si>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</si>
  <si>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</si>
  <si>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</si>
  <si>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</si>
  <si>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</si>
  <si>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</si>
  <si>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</si>
  <si>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</si>
  <si>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</si>
  <si>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</si>
  <si>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</si>
  <si>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</si>
  <si>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</si>
  <si>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</si>
  <si>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</si>
  <si>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</si>
  <si>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</si>
  <si>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</si>
  <si>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</si>
  <si>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</si>
  <si>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</si>
  <si>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</si>
  <si>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</si>
  <si>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</si>
  <si>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</si>
  <si>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</si>
  <si>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</si>
  <si>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</si>
  <si>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</si>
  <si>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</si>
  <si>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</si>
  <si>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</si>
  <si>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</si>
  <si>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</si>
  <si>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</si>
  <si>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</si>
  <si>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</si>
  <si>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</si>
  <si>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</si>
  <si>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</si>
  <si>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</si>
  <si>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</si>
  <si>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</si>
  <si>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</si>
  <si>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</si>
  <si>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</si>
  <si>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</si>
  <si>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</si>
  <si>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</si>
  <si>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</si>
  <si>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</si>
  <si>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</si>
  <si>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</si>
  <si>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</si>
  <si>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</si>
  <si>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</si>
  <si>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</si>
  <si>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</si>
  <si>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</si>
  <si>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</si>
  <si>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</si>
  <si>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</si>
  <si>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</si>
  <si>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</si>
  <si>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</si>
  <si>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</si>
  <si>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</si>
  <si>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</si>
  <si>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</si>
  <si>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</si>
  <si>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</si>
  <si>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</si>
  <si>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</si>
  <si>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</si>
  <si>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</si>
  <si>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</si>
  <si>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</si>
  <si>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</si>
  <si>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</si>
  <si>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</si>
  <si>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</si>
  <si>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</si>
  <si>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</si>
  <si>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</si>
  <si>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</si>
  <si>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</si>
  <si>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</si>
  <si>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</si>
  <si>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</si>
  <si>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</si>
  <si>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</si>
  <si>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</si>
  <si>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</si>
  <si>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</si>
  <si>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</si>
  <si>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</si>
  <si>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</si>
  <si>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</si>
  <si>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</si>
  <si>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</si>
  <si>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</si>
  <si>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</si>
  <si>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</si>
  <si>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</si>
  <si>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</si>
  <si>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</si>
  <si>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</si>
  <si>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</si>
  <si>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</si>
  <si>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</si>
  <si>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</si>
  <si>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</si>
  <si>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</si>
  <si>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</si>
  <si>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</si>
  <si>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</si>
  <si>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</si>
  <si>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</si>
  <si>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</si>
  <si>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</si>
  <si>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</si>
  <si>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</si>
  <si>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</si>
  <si>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</si>
  <si>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</si>
  <si>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</si>
  <si>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</si>
  <si>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</si>
  <si>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</si>
  <si>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</si>
  <si>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</si>
  <si>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</si>
  <si>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</si>
  <si>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</si>
  <si>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</si>
  <si>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</si>
  <si>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</si>
  <si>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</si>
  <si>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</si>
  <si>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</si>
  <si>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</si>
  <si>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</si>
  <si>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</si>
  <si>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</si>
  <si>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</si>
  <si>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</si>
  <si>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</si>
  <si>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</si>
  <si>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</si>
  <si>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</si>
  <si>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</si>
  <si>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</si>
  <si>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</si>
  <si>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</si>
  <si>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</si>
  <si>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</si>
  <si>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</si>
  <si>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</si>
  <si>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</si>
  <si>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</si>
  <si>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</si>
  <si>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</si>
  <si>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</si>
  <si>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</si>
  <si>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</si>
  <si>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</si>
  <si>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</si>
  <si>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</si>
  <si>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</si>
  <si>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</si>
  <si>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</si>
  <si>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</si>
  <si>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</si>
  <si>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</si>
  <si>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</si>
  <si>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</si>
  <si>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</si>
  <si>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</si>
  <si>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</si>
  <si>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</si>
  <si>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</si>
  <si>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</si>
  <si>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</si>
  <si>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</si>
  <si>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</si>
  <si>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</si>
  <si>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</si>
  <si>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</si>
  <si>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</si>
  <si>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</si>
  <si>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</si>
  <si>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</si>
  <si>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</si>
  <si>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</si>
  <si>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</si>
  <si>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</si>
  <si>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</si>
  <si>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</si>
  <si>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</si>
  <si>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</si>
  <si>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</si>
  <si>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</si>
  <si>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</si>
  <si>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</si>
  <si>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</si>
  <si>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</si>
  <si>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</si>
  <si>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</si>
  <si>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</si>
  <si>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</si>
  <si>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</si>
  <si>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</si>
  <si>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</si>
  <si>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</si>
  <si>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</si>
  <si>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</si>
  <si>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</si>
  <si>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</si>
  <si>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</si>
  <si>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</si>
  <si>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</si>
  <si>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</si>
  <si>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</si>
  <si>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</si>
  <si>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</si>
  <si>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</si>
  <si>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</si>
  <si>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</si>
  <si>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</si>
  <si>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</si>
  <si>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</si>
  <si>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</si>
  <si>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</si>
  <si>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</si>
  <si>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</si>
  <si>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</si>
  <si>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</si>
  <si>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</si>
  <si>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</si>
  <si>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</si>
  <si>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</si>
  <si>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</si>
  <si>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</si>
  <si>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</si>
  <si>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</si>
  <si>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</si>
  <si>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</si>
  <si>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</si>
  <si>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</si>
  <si>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</si>
  <si>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</si>
  <si>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</si>
  <si>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</si>
  <si>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</si>
  <si>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</si>
  <si>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</si>
  <si>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</si>
  <si>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</si>
  <si>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</si>
  <si>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</si>
  <si>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</si>
  <si>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</si>
  <si>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</si>
  <si>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</si>
  <si>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</si>
  <si>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</si>
  <si>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</si>
  <si>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</si>
  <si>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</si>
  <si>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</si>
  <si>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</si>
  <si>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</si>
  <si>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</si>
  <si>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</si>
  <si>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</si>
  <si>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</si>
  <si>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</si>
  <si>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</si>
  <si>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</si>
  <si>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</si>
  <si>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</si>
  <si>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</si>
  <si>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</si>
  <si>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</si>
  <si>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</si>
  <si>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</si>
  <si>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</si>
  <si>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</si>
  <si>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</si>
  <si>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</si>
  <si>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</si>
  <si>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</si>
  <si>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</si>
  <si>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MONITOR + DESC</t>
  </si>
  <si>
    <t>CALCOLO IVA</t>
  </si>
  <si>
    <t>Soglia IVA 20%</t>
  </si>
  <si>
    <t>Esito</t>
  </si>
  <si>
    <t>Buono</t>
  </si>
  <si>
    <t>Discreto</t>
  </si>
  <si>
    <t>Sufficiente</t>
  </si>
  <si>
    <t>Respinto</t>
  </si>
  <si>
    <t>Più.SE</t>
  </si>
  <si>
    <t>CERCA.VERT</t>
  </si>
  <si>
    <t>Conteggio</t>
  </si>
  <si>
    <t>Clienti</t>
  </si>
  <si>
    <t>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</si>
</sst>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9" formatCode="#,##0.00\ &quot;€&quot;"/>
  </numFmts>
  <fonts count="8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FFCC99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164" fontId="1" fillId="4" borderId="0" xfId="0" applyNumberFormat="1" applyFont="1" applyFill="1" applyAlignment="1"/>
    <xf numFmtId="0" fontId="3" fillId="5" borderId="0" xfId="0" applyFont="1" applyFill="1"/>
    <xf numFmtId="0" fontId="4" fillId="6" borderId="0" xfId="0" applyFont="1" applyFill="1"/>
    <xf numFmtId="0" fontId="6" fillId="7" borderId="0" xfId="0" applyFont="1" applyFill="1"/>
    <xf numFmtId="0" fontId="0" fillId="7" borderId="0" xfId="0" applyFont="1" applyFill="1" applyAlignment="1"/>
    <xf numFmtId="169" fontId="0" fillId="0" borderId="0" xfId="0" applyNumberFormat="1" applyFont="1" applyAlignment="1"/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 array="1">_xlfn.IFS(Table_1[[#This Row],[Column2]]=$F$2,$G$2,Table_1[[#This Row],[Column2]]=$F$3,$G$3,Table_1[[#This Row],[Column2]]=$F$4,$G$4,Table_1[[#This Row],[Column2]]=$F$5,$G$5)</calculatedColumnFormula>
    </tableColumn>
    <tableColumn id="4" xr3:uid="{CB79B7F8-9426-41E2-AFE6-18D54DD430A8}" name="Colonna1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I8" sqref="I8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4.21875" bestFit="1" customWidth="1"/>
    <col min="5" max="5" width="66.109375" bestFit="1" customWidth="1"/>
    <col min="6" max="6" width="5.5546875" customWidth="1"/>
    <col min="7" max="7" width="7.109375" customWidth="1"/>
    <col min="8" max="8" width="8.6640625" customWidth="1"/>
    <col min="9" max="9" width="16.5546875" customWidth="1"/>
    <col min="10" max="26" width="8.664062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570</v>
      </c>
      <c r="E1" s="2" t="s">
        <v>569</v>
      </c>
      <c r="F1" s="1"/>
      <c r="G1" s="3"/>
      <c r="H1" s="4"/>
      <c r="I1" s="15" t="s">
        <v>571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(C2*20)/100</f>
        <v>56200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(C3*20)/100</f>
        <v>64600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(C67*20)/100</f>
        <v>100200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(C131*20)/100</f>
        <v>19400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43200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50000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76400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104800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151400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209000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313600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23400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31600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52000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38600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54000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62800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178800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208000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1600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2000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4800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(C195*20)/100</f>
        <v>2200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800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16200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25000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19600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28000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1800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2200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(C259*20)/100</f>
        <v>45400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(C323*20)/100</f>
        <v>16000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2342400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3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4.109375" customWidth="1"/>
    <col min="6" max="6" width="9.33203125" customWidth="1"/>
    <col min="7" max="7" width="11.77734375" bestFit="1" customWidth="1"/>
    <col min="8" max="8" width="14.33203125" customWidth="1"/>
    <col min="9" max="9" width="8" customWidth="1"/>
    <col min="10" max="10" width="11.77734375" bestFit="1" customWidth="1"/>
    <col min="11" max="11" width="9.109375" bestFit="1" customWidth="1"/>
    <col min="12" max="27" width="9.33203125" customWidth="1"/>
  </cols>
  <sheetData>
    <row r="1" spans="1:27" ht="12.75" customHeight="1" x14ac:dyDescent="0.3">
      <c r="A1" s="6" t="s">
        <v>484</v>
      </c>
      <c r="B1" s="6" t="s">
        <v>485</v>
      </c>
      <c r="C1" s="6" t="s">
        <v>577</v>
      </c>
      <c r="D1" s="6" t="s">
        <v>578</v>
      </c>
      <c r="E1" s="16"/>
      <c r="F1" s="6" t="s">
        <v>485</v>
      </c>
      <c r="G1" s="6" t="s">
        <v>572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7" ht="12.75" customHeight="1" x14ac:dyDescent="0.3">
      <c r="A2" s="7" t="s">
        <v>486</v>
      </c>
      <c r="B2" s="7">
        <v>40</v>
      </c>
      <c r="C2" s="7" t="str" cm="1">
        <f t="array" ref="C2">_xlfn.IFS(Table_1[[#This Row],[Column2]]=$F$2,$G$2,Table_1[[#This Row],[Column2]]=$F$3,$G$3,Table_1[[#This Row],[Column2]]=$F$4,$G$4,Table_1[[#This Row],[Column2]]=$F$5,$G$5)</f>
        <v>Sufficiente</v>
      </c>
      <c r="D2" s="7" t="str">
        <f>VLOOKUP(Table_1[[#This Row],[Column2]],$F$1:$G$5,2,FALSE)</f>
        <v>Sufficiente</v>
      </c>
      <c r="E2" s="17"/>
      <c r="F2" s="8">
        <v>0</v>
      </c>
      <c r="G2" s="8" t="s">
        <v>576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7" ht="12.75" customHeight="1" x14ac:dyDescent="0.3">
      <c r="A3" s="7" t="s">
        <v>487</v>
      </c>
      <c r="B3" s="7">
        <v>60</v>
      </c>
      <c r="C3" s="7" t="str" cm="1">
        <f t="array" ref="C3">_xlfn.IFS(Table_1[[#This Row],[Column2]]=$F$2,$G$2,Table_1[[#This Row],[Column2]]=$F$3,$G$3,Table_1[[#This Row],[Column2]]=$F$4,$G$4,Table_1[[#This Row],[Column2]]=$F$5,$G$5)</f>
        <v>Discreto</v>
      </c>
      <c r="D3" s="7" t="str">
        <f>VLOOKUP(Table_1[[#This Row],[Column2]],$F$1:$G$5,2,FALSE)</f>
        <v>Discreto</v>
      </c>
      <c r="E3" s="17"/>
      <c r="F3" s="8">
        <v>40</v>
      </c>
      <c r="G3" s="8" t="s">
        <v>575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7" ht="12.75" customHeight="1" x14ac:dyDescent="0.3">
      <c r="A4" s="7" t="s">
        <v>488</v>
      </c>
      <c r="B4" s="7">
        <v>60</v>
      </c>
      <c r="C4" s="7" t="str" cm="1">
        <f t="array" ref="C4">_xlfn.IFS(Table_1[[#This Row],[Column2]]=$F$2,$G$2,Table_1[[#This Row],[Column2]]=$F$3,$G$3,Table_1[[#This Row],[Column2]]=$F$4,$G$4,Table_1[[#This Row],[Column2]]=$F$5,$G$5)</f>
        <v>Discreto</v>
      </c>
      <c r="D4" s="7" t="str">
        <f>VLOOKUP(Table_1[[#This Row],[Column2]],$F$1:$G$5,2,FALSE)</f>
        <v>Discreto</v>
      </c>
      <c r="E4" s="17"/>
      <c r="F4" s="8">
        <v>60</v>
      </c>
      <c r="G4" s="8" t="s">
        <v>574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7" ht="12.75" customHeight="1" x14ac:dyDescent="0.3">
      <c r="A5" s="7" t="s">
        <v>489</v>
      </c>
      <c r="B5" s="7">
        <v>40</v>
      </c>
      <c r="C5" s="7" t="str" cm="1">
        <f t="array" ref="C5">_xlfn.IFS(Table_1[[#This Row],[Column2]]=$F$2,$G$2,Table_1[[#This Row],[Column2]]=$F$3,$G$3,Table_1[[#This Row],[Column2]]=$F$4,$G$4,Table_1[[#This Row],[Column2]]=$F$5,$G$5)</f>
        <v>Sufficiente</v>
      </c>
      <c r="D5" s="7" t="str">
        <f>VLOOKUP(Table_1[[#This Row],[Column2]],$F$1:$G$5,2,FALSE)</f>
        <v>Sufficiente</v>
      </c>
      <c r="E5" s="17"/>
      <c r="F5" s="8">
        <v>70</v>
      </c>
      <c r="G5" s="8" t="s">
        <v>573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7" ht="12.75" customHeight="1" x14ac:dyDescent="0.3">
      <c r="A6" s="7" t="s">
        <v>490</v>
      </c>
      <c r="B6" s="7">
        <v>70</v>
      </c>
      <c r="C6" s="7" t="str" cm="1">
        <f t="array" ref="C6">_xlfn.IFS(Table_1[[#This Row],[Column2]]=$F$2,$G$2,Table_1[[#This Row],[Column2]]=$F$3,$G$3,Table_1[[#This Row],[Column2]]=$F$4,$G$4,Table_1[[#This Row],[Column2]]=$F$5,$G$5)</f>
        <v>Buono</v>
      </c>
      <c r="D6" s="7" t="str">
        <f>VLOOKUP(Table_1[[#This Row],[Column2]],$F$1:$G$5,2,FALSE)</f>
        <v>Buono</v>
      </c>
      <c r="E6" s="1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 x14ac:dyDescent="0.3">
      <c r="A7" s="7" t="s">
        <v>491</v>
      </c>
      <c r="B7" s="7">
        <v>0</v>
      </c>
      <c r="C7" s="7" t="str" cm="1">
        <f t="array" ref="C7">_xlfn.IFS(Table_1[[#This Row],[Column2]]=$F$2,$G$2,Table_1[[#This Row],[Column2]]=$F$3,$G$3,Table_1[[#This Row],[Column2]]=$F$4,$G$4,Table_1[[#This Row],[Column2]]=$F$5,$G$5)</f>
        <v>Respinto</v>
      </c>
      <c r="D7" s="7" t="str">
        <f>VLOOKUP(Table_1[[#This Row],[Column2]],$F$1:$G$5,2,FALSE)</f>
        <v>Respinto</v>
      </c>
      <c r="E7" s="1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3">
      <c r="A8" s="7" t="s">
        <v>492</v>
      </c>
      <c r="B8" s="7">
        <v>0</v>
      </c>
      <c r="C8" s="7" t="str" cm="1">
        <f t="array" ref="C8">_xlfn.IFS(Table_1[[#This Row],[Column2]]=$F$2,$G$2,Table_1[[#This Row],[Column2]]=$F$3,$G$3,Table_1[[#This Row],[Column2]]=$F$4,$G$4,Table_1[[#This Row],[Column2]]=$F$5,$G$5)</f>
        <v>Respinto</v>
      </c>
      <c r="D8" s="7" t="str">
        <f>VLOOKUP(Table_1[[#This Row],[Column2]],$F$1:$G$5,2,FALSE)</f>
        <v>Respinto</v>
      </c>
      <c r="E8" s="1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3">
      <c r="A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2.75" customHeight="1" x14ac:dyDescent="0.3">
      <c r="A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K10" sqref="K10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style="19" customWidth="1"/>
    <col min="7" max="7" width="22.33203125" customWidth="1"/>
    <col min="8" max="8" width="15.44140625" customWidth="1"/>
    <col min="9" max="9" width="12.77734375" bestFit="1" customWidth="1"/>
    <col min="10" max="24" width="8.6640625" customWidth="1"/>
  </cols>
  <sheetData>
    <row r="1" spans="1:24" ht="13.5" customHeight="1" thickBot="1" x14ac:dyDescent="0.4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8"/>
      <c r="G1" s="10" t="s">
        <v>495</v>
      </c>
      <c r="H1" s="10" t="s">
        <v>579</v>
      </c>
      <c r="I1" s="10" t="s">
        <v>581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thickTop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H2">
        <f>COUNTIF($C$2:$C$80,G2)</f>
        <v>11</v>
      </c>
      <c r="I2" s="20">
        <f>SUMIF($C$2:$C$80,G2,$D$2:$D$80)</f>
        <v>611780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H3">
        <f t="shared" ref="H3:H5" si="0">COUNTIF($C$2:$C$80,G3)</f>
        <v>5</v>
      </c>
      <c r="I3" s="20">
        <f t="shared" ref="I3:I5" si="1">SUMIF($C$2:$C$80,G3,$D$2:$D$80)</f>
        <v>30860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H4">
        <f t="shared" si="0"/>
        <v>4</v>
      </c>
      <c r="I4" s="20">
        <f t="shared" si="1"/>
        <v>54000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H5">
        <f t="shared" si="0"/>
        <v>4</v>
      </c>
      <c r="I5" s="20">
        <f t="shared" si="1"/>
        <v>6765600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thickBot="1" x14ac:dyDescent="0.4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10" t="s">
        <v>580</v>
      </c>
      <c r="H7" s="10" t="s">
        <v>579</v>
      </c>
      <c r="I7" s="10" t="s">
        <v>581</v>
      </c>
    </row>
    <row r="8" spans="1:24" ht="13.5" customHeight="1" thickTop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t="s">
        <v>501</v>
      </c>
      <c r="H8">
        <f>COUNTIF($B$2:$B$80,G8)</f>
        <v>2</v>
      </c>
      <c r="I8" s="20">
        <f>SUMIF($B$2:$B$80,G8,$D$2:$D$80)</f>
        <v>73450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t="s">
        <v>507</v>
      </c>
      <c r="H9">
        <f t="shared" ref="H9:H14" si="2">COUNTIF($B$2:$B$80,G9)</f>
        <v>1</v>
      </c>
      <c r="I9" s="20">
        <f t="shared" ref="I9:I14" si="3">SUMIF($B$2:$B$80,G9,$D$2:$D$80)</f>
        <v>50800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t="s">
        <v>509</v>
      </c>
      <c r="H10">
        <f t="shared" si="2"/>
        <v>1</v>
      </c>
      <c r="I10" s="20">
        <f t="shared" si="3"/>
        <v>98450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t="s">
        <v>511</v>
      </c>
      <c r="H11">
        <f t="shared" si="2"/>
        <v>1</v>
      </c>
      <c r="I11" s="20">
        <f t="shared" si="3"/>
        <v>7950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t="s">
        <v>525</v>
      </c>
      <c r="H12">
        <f t="shared" si="2"/>
        <v>4</v>
      </c>
      <c r="I12" s="20">
        <f t="shared" si="3"/>
        <v>283000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t="s">
        <v>528</v>
      </c>
      <c r="H13">
        <f t="shared" si="2"/>
        <v>2</v>
      </c>
      <c r="I13" s="20">
        <f t="shared" si="3"/>
        <v>107700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t="s">
        <v>529</v>
      </c>
      <c r="H14">
        <f t="shared" si="2"/>
        <v>1</v>
      </c>
      <c r="I14" s="20">
        <f t="shared" si="3"/>
        <v>27270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Salvo Cangialosi</cp:lastModifiedBy>
  <dcterms:created xsi:type="dcterms:W3CDTF">2005-04-12T12:35:30Z</dcterms:created>
  <dcterms:modified xsi:type="dcterms:W3CDTF">2025-11-08T10:40:15Z</dcterms:modified>
</cp:coreProperties>
</file>