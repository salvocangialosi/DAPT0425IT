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cang\Desktop\Studio\Epicode\Esercitazioni EXCEL\"/>
    </mc:Choice>
  </mc:AlternateContent>
  <xr:revisionPtr revIDLastSave="0" documentId="13_ncr:1_{AC550382-5B23-478B-A05C-E9882AC29A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Frutta!$A$1:$F$47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 s="1"/>
  <c r="D7" i="1" a="1"/>
  <c r="D7" i="1"/>
  <c r="D8" i="1" a="1"/>
  <c r="D8" i="1" s="1"/>
  <c r="D9" i="1" a="1"/>
  <c r="D9" i="1" s="1"/>
  <c r="D10" i="1" a="1"/>
  <c r="D10" i="1"/>
  <c r="D11" i="1" a="1"/>
  <c r="D11" i="1" s="1"/>
  <c r="D12" i="1" a="1"/>
  <c r="D12" i="1" s="1"/>
  <c r="D13" i="1" a="1"/>
  <c r="D13" i="1" s="1"/>
  <c r="D14" i="1" a="1"/>
  <c r="D14" i="1" s="1"/>
  <c r="D15" i="1" a="1"/>
  <c r="D15" i="1"/>
  <c r="D16" i="1" a="1"/>
  <c r="D16" i="1" s="1"/>
  <c r="D17" i="1" a="1"/>
  <c r="D17" i="1" s="1"/>
  <c r="D18" i="1" a="1"/>
  <c r="D18" i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/>
  <c r="D99" i="1" a="1"/>
  <c r="D99" i="1" s="1"/>
  <c r="D100" i="1" a="1"/>
  <c r="D100" i="1" s="1"/>
  <c r="D101" i="1" a="1"/>
  <c r="D101" i="1" s="1"/>
  <c r="D2" i="1" a="1"/>
  <c r="D2" i="1" s="1"/>
  <c r="J2" i="2"/>
  <c r="F3" i="2"/>
  <c r="F4" i="2"/>
  <c r="F5" i="2"/>
  <c r="F6" i="2"/>
  <c r="F2" i="2"/>
  <c r="E3" i="2"/>
  <c r="E4" i="2"/>
  <c r="E5" i="2"/>
  <c r="E6" i="2"/>
  <c r="E2" i="2"/>
  <c r="C3" i="1" a="1"/>
  <c r="C3" i="1" s="1"/>
  <c r="C4" i="1" a="1"/>
  <c r="C4" i="1" s="1"/>
  <c r="C5" i="1" a="1"/>
  <c r="C5" i="1"/>
  <c r="C6" i="1" a="1"/>
  <c r="C6" i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/>
  <c r="C14" i="1" a="1"/>
  <c r="C14" i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/>
  <c r="C22" i="1" a="1"/>
  <c r="C22" i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/>
  <c r="C30" i="1" a="1"/>
  <c r="C30" i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/>
  <c r="C38" i="1" a="1"/>
  <c r="C38" i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/>
  <c r="C46" i="1" a="1"/>
  <c r="C46" i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/>
  <c r="C54" i="1" a="1"/>
  <c r="C54" i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/>
  <c r="C62" i="1" a="1"/>
  <c r="C62" i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C2" i="1" s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<sst xmlns="http://schemas.openxmlformats.org/spreadsheetml/2006/main" count="176" uniqueCount="126">
  <si>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</si>
  <si>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</si>
  <si>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</si>
  <si>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</si>
  <si>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</si>
  <si>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</si>
  <si>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</si>
  <si>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</si>
  <si>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</si>
  <si>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</si>
  <si>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</si>
  <si>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</si>
  <si>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</si>
  <si>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</si>
  <si>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</si>
  <si>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</si>
  <si>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</si>
  <si>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</si>
  <si>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</si>
  <si>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</si>
  <si>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</si>
  <si>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</si>
  <si>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</si>
  <si>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</si>
  <si>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</si>
  <si>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</si>
  <si>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</si>
  <si>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</si>
  <si>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</si>
  <si>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</si>
  <si>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</si>
  <si>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</si>
  <si>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</si>
  <si>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</si>
  <si>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</si>
  <si>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</si>
  <si>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</si>
  <si>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</si>
  <si>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</si>
  <si>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</si>
  <si>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</si>
  <si>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</si>
  <si>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</si>
  <si>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</si>
  <si>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</si>
  <si>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</si>
  <si>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</si>
  <si>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</si>
  <si>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</si>
  <si>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</si>
  <si>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</si>
  <si>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</si>
  <si>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</si>
  <si>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</si>
  <si>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</si>
  <si>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</si>
  <si>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</si>
  <si>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</si>
  <si>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</si>
  <si>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</si>
  <si>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</si>
  <si>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</si>
  <si>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</si>
  <si>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</si>
  <si>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</si>
  <si>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</si>
  <si>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</si>
  <si>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</si>
  <si>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</si>
  <si>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</si>
  <si>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</si>
  <si>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</si>
  <si>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</si>
  <si>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</si>
  <si>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</si>
  <si>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</si>
  <si>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</si>
  <si>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</si>
  <si>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</si>
  <si>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</si>
  <si>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</si>
  <si>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</si>
  <si>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</si>
  <si>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</si>
  <si>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</si>
  <si>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</si>
  <si>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</si>
  <si>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</si>
  <si>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</si>
  <si>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</si>
  <si>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</si>
  <si>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</si>
  <si>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</si>
  <si>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</si>
  <si>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</si>
  <si>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</si>
  <si>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</si>
  <si>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</si>
  <si>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</si>
  <si>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</si>
  <si>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</si>
  <si>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</si>
  <si>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</si>
  <si>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</si>
  <si>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</si>
  <si>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</si>
  <si>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</si>
  <si>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</si>
  <si>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</si>
  <si>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</si>
  <si>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INIZIALI</t>
  </si>
  <si>
    <t>TIPOLOGIA</t>
  </si>
  <si>
    <t>ORA</t>
  </si>
  <si>
    <t>SOGGETTO</t>
  </si>
  <si>
    <t>CONTEGGIO</t>
  </si>
  <si>
    <t>PESO TOTALE</t>
  </si>
  <si>
    <t>SOGLIA PESO DA ESCLUDERE</t>
  </si>
  <si>
    <t>ARTICOLO</t>
  </si>
  <si>
    <t>CALCOLO PESO TOTALE</t>
  </si>
  <si>
    <t>ESERCIZIO 2</t>
  </si>
  <si>
    <t>ESERCIZIO 3</t>
  </si>
  <si>
    <t>ESERCIZIO 4</t>
  </si>
  <si>
    <t>1</t>
  </si>
  <si>
    <t>2</t>
  </si>
  <si>
    <t>0</t>
  </si>
  <si>
    <t>ESERCIZIO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</si>
</sst>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\ &quot;€&quot;"/>
    <numFmt numFmtId="167" formatCode="#,##0.00\ &quot;€&quot;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8"/>
      <color rgb="FF000000"/>
      <name val="Arial"/>
      <family val="2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2" fontId="0" fillId="0" borderId="0" xfId="0" applyNumberFormat="1" applyFont="1" applyAlignment="1"/>
    <xf numFmtId="164" fontId="0" fillId="0" borderId="0" xfId="0" applyNumberFormat="1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Font="1" applyAlignment="1"/>
    <xf numFmtId="0" fontId="1" fillId="2" borderId="0" xfId="0" applyFont="1" applyFill="1" applyAlignment="1"/>
    <xf numFmtId="0" fontId="1" fillId="2" borderId="0" xfId="0" applyFont="1" applyFill="1"/>
    <xf numFmtId="0" fontId="0" fillId="2" borderId="0" xfId="0" applyFont="1" applyFill="1" applyAlignment="1"/>
    <xf numFmtId="0" fontId="1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/>
    </xf>
    <xf numFmtId="167" fontId="0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1"/>
  <sheetViews>
    <sheetView tabSelected="1" workbookViewId="0">
      <selection activeCell="L10" sqref="L10"/>
    </sheetView>
  </sheetViews>
  <sheetFormatPr defaultColWidth="12.6640625" defaultRowHeight="15.75" customHeight="1" x14ac:dyDescent="0.25"/>
  <cols>
    <col min="2" max="2" width="25.33203125" style="5" customWidth="1"/>
    <col min="3" max="3" width="22.6640625" style="4" bestFit="1" customWidth="1"/>
    <col min="4" max="4" width="22.77734375" customWidth="1"/>
    <col min="9" max="9" width="12.6640625" style="15"/>
  </cols>
  <sheetData>
    <row r="1" spans="1:23" s="7" customFormat="1" x14ac:dyDescent="0.25">
      <c r="A1" s="6" t="s">
        <v>0</v>
      </c>
      <c r="B1" s="13" t="s">
        <v>1</v>
      </c>
      <c r="C1" s="12" t="s">
        <v>2</v>
      </c>
      <c r="D1" s="6" t="s">
        <v>3</v>
      </c>
      <c r="E1" s="6"/>
      <c r="F1" s="6" t="s">
        <v>110</v>
      </c>
      <c r="G1" s="6"/>
      <c r="H1" s="6"/>
      <c r="I1" s="14" t="s">
        <v>111</v>
      </c>
      <c r="J1" s="6" t="s">
        <v>3</v>
      </c>
      <c r="K1" s="6" t="s">
        <v>112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7" customFormat="1" x14ac:dyDescent="0.25">
      <c r="A2" s="8" t="s">
        <v>4</v>
      </c>
      <c r="B2" s="9">
        <v>1.5</v>
      </c>
      <c r="C2" s="21" t="str" cm="1">
        <f t="array" ref="C2">_xlfn.IFS(F2&lt;="F","0",F2&lt;="M","1",F2&lt;="Z","2")</f>
        <v>0</v>
      </c>
      <c r="D2" s="25" cm="1">
        <f t="array" ref="D2">_xlfn.IFS(C2=$I$2,$J$2*(B2/$K$2),C2=$I$3,$J$3*(B2/$K$3),C2=$I$4,$J$4*B2)</f>
        <v>6</v>
      </c>
      <c r="F2" s="7" t="str">
        <f>LEFT(A2,1)</f>
        <v>A</v>
      </c>
      <c r="I2" s="21" t="s">
        <v>124</v>
      </c>
      <c r="J2" s="22">
        <v>2</v>
      </c>
      <c r="K2" s="10">
        <v>0.5</v>
      </c>
    </row>
    <row r="3" spans="1:23" s="7" customFormat="1" x14ac:dyDescent="0.25">
      <c r="A3" s="8" t="s">
        <v>5</v>
      </c>
      <c r="B3" s="9">
        <v>2.5</v>
      </c>
      <c r="C3" s="21" t="str" cm="1">
        <f t="array" ref="C3">_xlfn.IFS(F3&lt;="F","0",F3&lt;="M","1",F3&lt;="Z","2")</f>
        <v>1</v>
      </c>
      <c r="D3" s="25" cm="1">
        <f t="array" ref="D3">_xlfn.IFS(C3=$I$2,$J$2*(B3/$K$2),C3=$I$3,$J$3*(B3/$K$3),C3=$I$4,$J$4*B3)</f>
        <v>7.5</v>
      </c>
      <c r="F3" s="7" t="str">
        <f t="shared" ref="F3:F66" si="0">LEFT(A3,1)</f>
        <v>L</v>
      </c>
      <c r="I3" s="21" t="s">
        <v>122</v>
      </c>
      <c r="J3" s="22">
        <v>1.5</v>
      </c>
      <c r="K3" s="10">
        <v>0.5</v>
      </c>
    </row>
    <row r="4" spans="1:23" s="7" customFormat="1" x14ac:dyDescent="0.25">
      <c r="A4" s="8" t="s">
        <v>6</v>
      </c>
      <c r="B4" s="9">
        <v>3.5</v>
      </c>
      <c r="C4" s="21" t="str" cm="1">
        <f t="array" ref="C4">_xlfn.IFS(F4&lt;="F","0",F4&lt;="M","1",F4&lt;="Z","2")</f>
        <v>2</v>
      </c>
      <c r="D4" s="25" cm="1">
        <f t="array" ref="D4">_xlfn.IFS(C4=$I$2,$J$2*(B4/$K$2),C4=$I$3,$J$3*(B4/$K$3),C4=$I$4,$J$4*B4)</f>
        <v>7</v>
      </c>
      <c r="F4" s="7" t="str">
        <f t="shared" si="0"/>
        <v>P</v>
      </c>
      <c r="I4" s="21" t="s">
        <v>123</v>
      </c>
      <c r="J4" s="22">
        <v>2</v>
      </c>
      <c r="K4" s="10">
        <v>1</v>
      </c>
    </row>
    <row r="5" spans="1:23" s="7" customFormat="1" x14ac:dyDescent="0.25">
      <c r="A5" s="8" t="s">
        <v>7</v>
      </c>
      <c r="B5" s="9">
        <v>4.5</v>
      </c>
      <c r="C5" s="21" t="str" cm="1">
        <f t="array" ref="C5">_xlfn.IFS(F5&lt;="F","0",F5&lt;="M","1",F5&lt;="Z","2")</f>
        <v>2</v>
      </c>
      <c r="D5" s="25" cm="1">
        <f t="array" ref="D5">_xlfn.IFS(C5=$I$2,$J$2*(B5/$K$2),C5=$I$3,$J$3*(B5/$K$3),C5=$I$4,$J$4*B5)</f>
        <v>9</v>
      </c>
      <c r="F5" s="7" t="str">
        <f t="shared" si="0"/>
        <v>U</v>
      </c>
      <c r="I5" s="11"/>
    </row>
    <row r="6" spans="1:23" s="7" customFormat="1" x14ac:dyDescent="0.25">
      <c r="A6" s="8" t="s">
        <v>8</v>
      </c>
      <c r="B6" s="9">
        <v>5.5</v>
      </c>
      <c r="C6" s="21" t="str" cm="1">
        <f t="array" ref="C6">_xlfn.IFS(F6&lt;="F","0",F6&lt;="M","1",F6&lt;="Z","2")</f>
        <v>2</v>
      </c>
      <c r="D6" s="25" cm="1">
        <f t="array" ref="D6">_xlfn.IFS(C6=$I$2,$J$2*(B6/$K$2),C6=$I$3,$J$3*(B6/$K$3),C6=$I$4,$J$4*B6)</f>
        <v>11</v>
      </c>
      <c r="F6" s="7" t="str">
        <f t="shared" si="0"/>
        <v>W</v>
      </c>
      <c r="I6" s="11"/>
    </row>
    <row r="7" spans="1:23" s="7" customFormat="1" x14ac:dyDescent="0.25">
      <c r="A7" s="8" t="s">
        <v>9</v>
      </c>
      <c r="B7" s="9">
        <v>6.5</v>
      </c>
      <c r="C7" s="21" t="str" cm="1">
        <f t="array" ref="C7">_xlfn.IFS(F7&lt;="F","0",F7&lt;="M","1",F7&lt;="Z","2")</f>
        <v>2</v>
      </c>
      <c r="D7" s="25" cm="1">
        <f t="array" ref="D7">_xlfn.IFS(C7=$I$2,$J$2*(B7/$K$2),C7=$I$3,$J$3*(B7/$K$3),C7=$I$4,$J$4*B7)</f>
        <v>13</v>
      </c>
      <c r="F7" s="7" t="str">
        <f t="shared" si="0"/>
        <v>Y</v>
      </c>
      <c r="I7" s="11"/>
    </row>
    <row r="8" spans="1:23" s="7" customFormat="1" x14ac:dyDescent="0.25">
      <c r="A8" s="8" t="s">
        <v>10</v>
      </c>
      <c r="B8" s="9">
        <v>7.5</v>
      </c>
      <c r="C8" s="21" t="str" cm="1">
        <f t="array" ref="C8">_xlfn.IFS(F8&lt;="F","0",F8&lt;="M","1",F8&lt;="Z","2")</f>
        <v>0</v>
      </c>
      <c r="D8" s="25" cm="1">
        <f t="array" ref="D8">_xlfn.IFS(C8=$I$2,$J$2*(B8/$K$2),C8=$I$3,$J$3*(B8/$K$3),C8=$I$4,$J$4*B8)</f>
        <v>30</v>
      </c>
      <c r="F8" s="7" t="str">
        <f t="shared" si="0"/>
        <v>A</v>
      </c>
      <c r="I8" s="11"/>
    </row>
    <row r="9" spans="1:23" s="7" customFormat="1" x14ac:dyDescent="0.25">
      <c r="A9" s="8" t="s">
        <v>11</v>
      </c>
      <c r="B9" s="9">
        <v>8.5</v>
      </c>
      <c r="C9" s="21" t="str" cm="1">
        <f t="array" ref="C9">_xlfn.IFS(F9&lt;="F","0",F9&lt;="M","1",F9&lt;="Z","2")</f>
        <v>0</v>
      </c>
      <c r="D9" s="25" cm="1">
        <f t="array" ref="D9">_xlfn.IFS(C9=$I$2,$J$2*(B9/$K$2),C9=$I$3,$J$3*(B9/$K$3),C9=$I$4,$J$4*B9)</f>
        <v>34</v>
      </c>
      <c r="F9" s="7" t="str">
        <f t="shared" si="0"/>
        <v>C</v>
      </c>
      <c r="I9" s="11"/>
    </row>
    <row r="10" spans="1:23" s="7" customFormat="1" x14ac:dyDescent="0.25">
      <c r="A10" s="8" t="s">
        <v>12</v>
      </c>
      <c r="B10" s="9">
        <v>9.5</v>
      </c>
      <c r="C10" s="21" t="str" cm="1">
        <f t="array" ref="C10">_xlfn.IFS(F10&lt;="F","0",F10&lt;="M","1",F10&lt;="Z","2")</f>
        <v>0</v>
      </c>
      <c r="D10" s="25" cm="1">
        <f t="array" ref="D10">_xlfn.IFS(C10=$I$2,$J$2*(B10/$K$2),C10=$I$3,$J$3*(B10/$K$3),C10=$I$4,$J$4*B10)</f>
        <v>38</v>
      </c>
      <c r="F10" s="7" t="str">
        <f t="shared" si="0"/>
        <v>E</v>
      </c>
      <c r="I10" s="11"/>
    </row>
    <row r="11" spans="1:23" s="7" customFormat="1" x14ac:dyDescent="0.25">
      <c r="A11" s="8" t="s">
        <v>13</v>
      </c>
      <c r="B11" s="9">
        <v>10</v>
      </c>
      <c r="C11" s="21" t="str" cm="1">
        <f t="array" ref="C11">_xlfn.IFS(F11&lt;="F","0",F11&lt;="M","1",F11&lt;="Z","2")</f>
        <v>1</v>
      </c>
      <c r="D11" s="25" cm="1">
        <f t="array" ref="D11">_xlfn.IFS(C11=$I$2,$J$2*(B11/$K$2),C11=$I$3,$J$3*(B11/$K$3),C11=$I$4,$J$4*B11)</f>
        <v>30</v>
      </c>
      <c r="F11" s="7" t="str">
        <f t="shared" si="0"/>
        <v>G</v>
      </c>
      <c r="I11" s="23" t="s">
        <v>125</v>
      </c>
      <c r="J11" s="23"/>
      <c r="K11" s="23"/>
      <c r="L11" s="23"/>
    </row>
    <row r="12" spans="1:23" s="7" customFormat="1" x14ac:dyDescent="0.25">
      <c r="A12" s="8" t="s">
        <v>14</v>
      </c>
      <c r="B12" s="9">
        <v>0.5</v>
      </c>
      <c r="C12" s="21" t="str" cm="1">
        <f t="array" ref="C12">_xlfn.IFS(F12&lt;="F","0",F12&lt;="M","1",F12&lt;="Z","2")</f>
        <v>1</v>
      </c>
      <c r="D12" s="25" cm="1">
        <f t="array" ref="D12">_xlfn.IFS(C12=$I$2,$J$2*(B12/$K$2),C12=$I$3,$J$3*(B12/$K$3),C12=$I$4,$J$4*B12)</f>
        <v>1.5</v>
      </c>
      <c r="F12" s="7" t="str">
        <f t="shared" si="0"/>
        <v>I</v>
      </c>
      <c r="I12" s="23"/>
      <c r="J12" s="23"/>
      <c r="K12" s="23"/>
      <c r="L12" s="23"/>
    </row>
    <row r="13" spans="1:23" s="7" customFormat="1" x14ac:dyDescent="0.25">
      <c r="A13" s="8" t="s">
        <v>15</v>
      </c>
      <c r="B13" s="9">
        <v>1</v>
      </c>
      <c r="C13" s="21" t="str" cm="1">
        <f t="array" ref="C13">_xlfn.IFS(F13&lt;="F","0",F13&lt;="M","1",F13&lt;="Z","2")</f>
        <v>1</v>
      </c>
      <c r="D13" s="25" cm="1">
        <f t="array" ref="D13">_xlfn.IFS(C13=$I$2,$J$2*(B13/$K$2),C13=$I$3,$J$3*(B13/$K$3),C13=$I$4,$J$4*B13)</f>
        <v>3</v>
      </c>
      <c r="F13" s="7" t="str">
        <f t="shared" si="0"/>
        <v>K</v>
      </c>
      <c r="I13" s="11"/>
    </row>
    <row r="14" spans="1:23" s="7" customFormat="1" x14ac:dyDescent="0.25">
      <c r="A14" s="8" t="s">
        <v>16</v>
      </c>
      <c r="B14" s="9">
        <v>2</v>
      </c>
      <c r="C14" s="21" t="str" cm="1">
        <f t="array" ref="C14">_xlfn.IFS(F14&lt;="F","0",F14&lt;="M","1",F14&lt;="Z","2")</f>
        <v>1</v>
      </c>
      <c r="D14" s="25" cm="1">
        <f t="array" ref="D14">_xlfn.IFS(C14=$I$2,$J$2*(B14/$K$2),C14=$I$3,$J$3*(B14/$K$3),C14=$I$4,$J$4*B14)</f>
        <v>6</v>
      </c>
      <c r="F14" s="7" t="str">
        <f t="shared" si="0"/>
        <v>M</v>
      </c>
      <c r="I14" s="11"/>
    </row>
    <row r="15" spans="1:23" s="7" customFormat="1" x14ac:dyDescent="0.25">
      <c r="A15" s="8" t="s">
        <v>17</v>
      </c>
      <c r="B15" s="9">
        <v>3</v>
      </c>
      <c r="C15" s="21" t="str" cm="1">
        <f t="array" ref="C15">_xlfn.IFS(F15&lt;="F","0",F15&lt;="M","1",F15&lt;="Z","2")</f>
        <v>2</v>
      </c>
      <c r="D15" s="25" cm="1">
        <f t="array" ref="D15">_xlfn.IFS(C15=$I$2,$J$2*(B15/$K$2),C15=$I$3,$J$3*(B15/$K$3),C15=$I$4,$J$4*B15)</f>
        <v>6</v>
      </c>
      <c r="F15" s="7" t="str">
        <f t="shared" si="0"/>
        <v>O</v>
      </c>
      <c r="I15" s="11"/>
    </row>
    <row r="16" spans="1:23" s="7" customFormat="1" x14ac:dyDescent="0.25">
      <c r="A16" s="8" t="s">
        <v>18</v>
      </c>
      <c r="B16" s="9">
        <v>4</v>
      </c>
      <c r="C16" s="21" t="str" cm="1">
        <f t="array" ref="C16">_xlfn.IFS(F16&lt;="F","0",F16&lt;="M","1",F16&lt;="Z","2")</f>
        <v>2</v>
      </c>
      <c r="D16" s="25" cm="1">
        <f t="array" ref="D16">_xlfn.IFS(C16=$I$2,$J$2*(B16/$K$2),C16=$I$3,$J$3*(B16/$K$3),C16=$I$4,$J$4*B16)</f>
        <v>8</v>
      </c>
      <c r="F16" s="7" t="str">
        <f t="shared" si="0"/>
        <v>Q</v>
      </c>
      <c r="I16" s="11"/>
    </row>
    <row r="17" spans="1:9" s="7" customFormat="1" x14ac:dyDescent="0.25">
      <c r="A17" s="8" t="s">
        <v>19</v>
      </c>
      <c r="B17" s="9">
        <v>5</v>
      </c>
      <c r="C17" s="21" t="str" cm="1">
        <f t="array" ref="C17">_xlfn.IFS(F17&lt;="F","0",F17&lt;="M","1",F17&lt;="Z","2")</f>
        <v>2</v>
      </c>
      <c r="D17" s="25" cm="1">
        <f t="array" ref="D17">_xlfn.IFS(C17=$I$2,$J$2*(B17/$K$2),C17=$I$3,$J$3*(B17/$K$3),C17=$I$4,$J$4*B17)</f>
        <v>10</v>
      </c>
      <c r="F17" s="7" t="str">
        <f t="shared" si="0"/>
        <v>S</v>
      </c>
      <c r="I17" s="11"/>
    </row>
    <row r="18" spans="1:9" s="7" customFormat="1" x14ac:dyDescent="0.25">
      <c r="A18" s="8" t="s">
        <v>20</v>
      </c>
      <c r="B18" s="9">
        <v>6</v>
      </c>
      <c r="C18" s="21" t="str" cm="1">
        <f t="array" ref="C18">_xlfn.IFS(F18&lt;="F","0",F18&lt;="M","1",F18&lt;="Z","2")</f>
        <v>2</v>
      </c>
      <c r="D18" s="25" cm="1">
        <f t="array" ref="D18">_xlfn.IFS(C18=$I$2,$J$2*(B18/$K$2),C18=$I$3,$J$3*(B18/$K$3),C18=$I$4,$J$4*B18)</f>
        <v>12</v>
      </c>
      <c r="F18" s="7" t="str">
        <f t="shared" si="0"/>
        <v>U</v>
      </c>
      <c r="I18" s="11"/>
    </row>
    <row r="19" spans="1:9" s="7" customFormat="1" x14ac:dyDescent="0.25">
      <c r="A19" s="8" t="s">
        <v>21</v>
      </c>
      <c r="B19" s="9">
        <v>7</v>
      </c>
      <c r="C19" s="21" t="str" cm="1">
        <f t="array" ref="C19">_xlfn.IFS(F19&lt;="F","0",F19&lt;="M","1",F19&lt;="Z","2")</f>
        <v>2</v>
      </c>
      <c r="D19" s="25" cm="1">
        <f t="array" ref="D19">_xlfn.IFS(C19=$I$2,$J$2*(B19/$K$2),C19=$I$3,$J$3*(B19/$K$3),C19=$I$4,$J$4*B19)</f>
        <v>14</v>
      </c>
      <c r="F19" s="7" t="str">
        <f t="shared" si="0"/>
        <v>W</v>
      </c>
      <c r="I19" s="11"/>
    </row>
    <row r="20" spans="1:9" s="7" customFormat="1" x14ac:dyDescent="0.25">
      <c r="A20" s="8" t="s">
        <v>22</v>
      </c>
      <c r="B20" s="9">
        <v>8</v>
      </c>
      <c r="C20" s="21" t="str" cm="1">
        <f t="array" ref="C20">_xlfn.IFS(F20&lt;="F","0",F20&lt;="M","1",F20&lt;="Z","2")</f>
        <v>2</v>
      </c>
      <c r="D20" s="25" cm="1">
        <f t="array" ref="D20">_xlfn.IFS(C20=$I$2,$J$2*(B20/$K$2),C20=$I$3,$J$3*(B20/$K$3),C20=$I$4,$J$4*B20)</f>
        <v>16</v>
      </c>
      <c r="F20" s="7" t="str">
        <f t="shared" si="0"/>
        <v>Y</v>
      </c>
      <c r="I20" s="11"/>
    </row>
    <row r="21" spans="1:9" s="7" customFormat="1" x14ac:dyDescent="0.25">
      <c r="A21" s="8" t="s">
        <v>23</v>
      </c>
      <c r="B21" s="9">
        <v>9</v>
      </c>
      <c r="C21" s="21" t="str" cm="1">
        <f t="array" ref="C21">_xlfn.IFS(F21&lt;="F","0",F21&lt;="M","1",F21&lt;="Z","2")</f>
        <v>0</v>
      </c>
      <c r="D21" s="25" cm="1">
        <f t="array" ref="D21">_xlfn.IFS(C21=$I$2,$J$2*(B21/$K$2),C21=$I$3,$J$3*(B21/$K$3),C21=$I$4,$J$4*B21)</f>
        <v>36</v>
      </c>
      <c r="F21" s="7" t="str">
        <f t="shared" si="0"/>
        <v>A</v>
      </c>
      <c r="I21" s="11"/>
    </row>
    <row r="22" spans="1:9" s="7" customFormat="1" x14ac:dyDescent="0.25">
      <c r="A22" s="8" t="s">
        <v>24</v>
      </c>
      <c r="B22" s="9">
        <v>10</v>
      </c>
      <c r="C22" s="21" t="str" cm="1">
        <f t="array" ref="C22">_xlfn.IFS(F22&lt;="F","0",F22&lt;="M","1",F22&lt;="Z","2")</f>
        <v>0</v>
      </c>
      <c r="D22" s="25" cm="1">
        <f t="array" ref="D22">_xlfn.IFS(C22=$I$2,$J$2*(B22/$K$2),C22=$I$3,$J$3*(B22/$K$3),C22=$I$4,$J$4*B22)</f>
        <v>40</v>
      </c>
      <c r="F22" s="7" t="str">
        <f t="shared" si="0"/>
        <v>C</v>
      </c>
      <c r="I22" s="11"/>
    </row>
    <row r="23" spans="1:9" s="7" customFormat="1" x14ac:dyDescent="0.25">
      <c r="A23" s="8" t="s">
        <v>25</v>
      </c>
      <c r="B23" s="9">
        <v>0.5</v>
      </c>
      <c r="C23" s="21" t="str" cm="1">
        <f t="array" ref="C23">_xlfn.IFS(F23&lt;="F","0",F23&lt;="M","1",F23&lt;="Z","2")</f>
        <v>0</v>
      </c>
      <c r="D23" s="25" cm="1">
        <f t="array" ref="D23">_xlfn.IFS(C23=$I$2,$J$2*(B23/$K$2),C23=$I$3,$J$3*(B23/$K$3),C23=$I$4,$J$4*B23)</f>
        <v>2</v>
      </c>
      <c r="F23" s="7" t="str">
        <f t="shared" si="0"/>
        <v>E</v>
      </c>
      <c r="I23" s="11"/>
    </row>
    <row r="24" spans="1:9" s="7" customFormat="1" x14ac:dyDescent="0.25">
      <c r="A24" s="8" t="s">
        <v>26</v>
      </c>
      <c r="B24" s="9">
        <v>1</v>
      </c>
      <c r="C24" s="21" t="str" cm="1">
        <f t="array" ref="C24">_xlfn.IFS(F24&lt;="F","0",F24&lt;="M","1",F24&lt;="Z","2")</f>
        <v>1</v>
      </c>
      <c r="D24" s="25" cm="1">
        <f t="array" ref="D24">_xlfn.IFS(C24=$I$2,$J$2*(B24/$K$2),C24=$I$3,$J$3*(B24/$K$3),C24=$I$4,$J$4*B24)</f>
        <v>3</v>
      </c>
      <c r="F24" s="7" t="str">
        <f t="shared" si="0"/>
        <v>G</v>
      </c>
      <c r="I24" s="11"/>
    </row>
    <row r="25" spans="1:9" s="7" customFormat="1" x14ac:dyDescent="0.25">
      <c r="A25" s="8" t="s">
        <v>27</v>
      </c>
      <c r="B25" s="9">
        <v>2</v>
      </c>
      <c r="C25" s="21" t="str" cm="1">
        <f t="array" ref="C25">_xlfn.IFS(F25&lt;="F","0",F25&lt;="M","1",F25&lt;="Z","2")</f>
        <v>1</v>
      </c>
      <c r="D25" s="25" cm="1">
        <f t="array" ref="D25">_xlfn.IFS(C25=$I$2,$J$2*(B25/$K$2),C25=$I$3,$J$3*(B25/$K$3),C25=$I$4,$J$4*B25)</f>
        <v>6</v>
      </c>
      <c r="F25" s="7" t="str">
        <f t="shared" si="0"/>
        <v>I</v>
      </c>
      <c r="I25" s="11"/>
    </row>
    <row r="26" spans="1:9" s="7" customFormat="1" x14ac:dyDescent="0.25">
      <c r="A26" s="8" t="s">
        <v>28</v>
      </c>
      <c r="B26" s="9">
        <v>3</v>
      </c>
      <c r="C26" s="21" t="str" cm="1">
        <f t="array" ref="C26">_xlfn.IFS(F26&lt;="F","0",F26&lt;="M","1",F26&lt;="Z","2")</f>
        <v>1</v>
      </c>
      <c r="D26" s="25" cm="1">
        <f t="array" ref="D26">_xlfn.IFS(C26=$I$2,$J$2*(B26/$K$2),C26=$I$3,$J$3*(B26/$K$3),C26=$I$4,$J$4*B26)</f>
        <v>9</v>
      </c>
      <c r="F26" s="7" t="str">
        <f t="shared" si="0"/>
        <v>K</v>
      </c>
      <c r="I26" s="11"/>
    </row>
    <row r="27" spans="1:9" s="7" customFormat="1" x14ac:dyDescent="0.25">
      <c r="A27" s="8" t="s">
        <v>29</v>
      </c>
      <c r="B27" s="9">
        <v>4</v>
      </c>
      <c r="C27" s="21" t="str" cm="1">
        <f t="array" ref="C27">_xlfn.IFS(F27&lt;="F","0",F27&lt;="M","1",F27&lt;="Z","2")</f>
        <v>1</v>
      </c>
      <c r="D27" s="25" cm="1">
        <f t="array" ref="D27">_xlfn.IFS(C27=$I$2,$J$2*(B27/$K$2),C27=$I$3,$J$3*(B27/$K$3),C27=$I$4,$J$4*B27)</f>
        <v>12</v>
      </c>
      <c r="F27" s="7" t="str">
        <f t="shared" si="0"/>
        <v>M</v>
      </c>
      <c r="I27" s="11"/>
    </row>
    <row r="28" spans="1:9" s="7" customFormat="1" x14ac:dyDescent="0.25">
      <c r="A28" s="8" t="s">
        <v>30</v>
      </c>
      <c r="B28" s="9">
        <v>5</v>
      </c>
      <c r="C28" s="21" t="str" cm="1">
        <f t="array" ref="C28">_xlfn.IFS(F28&lt;="F","0",F28&lt;="M","1",F28&lt;="Z","2")</f>
        <v>2</v>
      </c>
      <c r="D28" s="25" cm="1">
        <f t="array" ref="D28">_xlfn.IFS(C28=$I$2,$J$2*(B28/$K$2),C28=$I$3,$J$3*(B28/$K$3),C28=$I$4,$J$4*B28)</f>
        <v>10</v>
      </c>
      <c r="F28" s="7" t="str">
        <f t="shared" si="0"/>
        <v>O</v>
      </c>
      <c r="I28" s="11"/>
    </row>
    <row r="29" spans="1:9" s="7" customFormat="1" x14ac:dyDescent="0.25">
      <c r="A29" s="8" t="s">
        <v>31</v>
      </c>
      <c r="B29" s="9">
        <v>6</v>
      </c>
      <c r="C29" s="21" t="str" cm="1">
        <f t="array" ref="C29">_xlfn.IFS(F29&lt;="F","0",F29&lt;="M","1",F29&lt;="Z","2")</f>
        <v>2</v>
      </c>
      <c r="D29" s="25" cm="1">
        <f t="array" ref="D29">_xlfn.IFS(C29=$I$2,$J$2*(B29/$K$2),C29=$I$3,$J$3*(B29/$K$3),C29=$I$4,$J$4*B29)</f>
        <v>12</v>
      </c>
      <c r="F29" s="7" t="str">
        <f t="shared" si="0"/>
        <v>Q</v>
      </c>
      <c r="I29" s="11"/>
    </row>
    <row r="30" spans="1:9" s="7" customFormat="1" x14ac:dyDescent="0.25">
      <c r="A30" s="8" t="s">
        <v>32</v>
      </c>
      <c r="B30" s="9">
        <v>7</v>
      </c>
      <c r="C30" s="21" t="str" cm="1">
        <f t="array" ref="C30">_xlfn.IFS(F30&lt;="F","0",F30&lt;="M","1",F30&lt;="Z","2")</f>
        <v>2</v>
      </c>
      <c r="D30" s="25" cm="1">
        <f t="array" ref="D30">_xlfn.IFS(C30=$I$2,$J$2*(B30/$K$2),C30=$I$3,$J$3*(B30/$K$3),C30=$I$4,$J$4*B30)</f>
        <v>14</v>
      </c>
      <c r="F30" s="7" t="str">
        <f t="shared" si="0"/>
        <v>S</v>
      </c>
      <c r="I30" s="11"/>
    </row>
    <row r="31" spans="1:9" s="7" customFormat="1" x14ac:dyDescent="0.25">
      <c r="A31" s="8" t="s">
        <v>33</v>
      </c>
      <c r="B31" s="9">
        <v>8</v>
      </c>
      <c r="C31" s="21" t="str" cm="1">
        <f t="array" ref="C31">_xlfn.IFS(F31&lt;="F","0",F31&lt;="M","1",F31&lt;="Z","2")</f>
        <v>2</v>
      </c>
      <c r="D31" s="25" cm="1">
        <f t="array" ref="D31">_xlfn.IFS(C31=$I$2,$J$2*(B31/$K$2),C31=$I$3,$J$3*(B31/$K$3),C31=$I$4,$J$4*B31)</f>
        <v>16</v>
      </c>
      <c r="F31" s="7" t="str">
        <f t="shared" si="0"/>
        <v>U</v>
      </c>
      <c r="I31" s="11"/>
    </row>
    <row r="32" spans="1:9" s="7" customFormat="1" x14ac:dyDescent="0.25">
      <c r="A32" s="8" t="s">
        <v>34</v>
      </c>
      <c r="B32" s="9">
        <v>9</v>
      </c>
      <c r="C32" s="21" t="str" cm="1">
        <f t="array" ref="C32">_xlfn.IFS(F32&lt;="F","0",F32&lt;="M","1",F32&lt;="Z","2")</f>
        <v>2</v>
      </c>
      <c r="D32" s="25" cm="1">
        <f t="array" ref="D32">_xlfn.IFS(C32=$I$2,$J$2*(B32/$K$2),C32=$I$3,$J$3*(B32/$K$3),C32=$I$4,$J$4*B32)</f>
        <v>18</v>
      </c>
      <c r="F32" s="7" t="str">
        <f t="shared" si="0"/>
        <v>W</v>
      </c>
      <c r="I32" s="11"/>
    </row>
    <row r="33" spans="1:9" s="7" customFormat="1" x14ac:dyDescent="0.25">
      <c r="A33" s="8" t="s">
        <v>35</v>
      </c>
      <c r="B33" s="9">
        <v>10</v>
      </c>
      <c r="C33" s="21" t="str" cm="1">
        <f t="array" ref="C33">_xlfn.IFS(F33&lt;="F","0",F33&lt;="M","1",F33&lt;="Z","2")</f>
        <v>2</v>
      </c>
      <c r="D33" s="25" cm="1">
        <f t="array" ref="D33">_xlfn.IFS(C33=$I$2,$J$2*(B33/$K$2),C33=$I$3,$J$3*(B33/$K$3),C33=$I$4,$J$4*B33)</f>
        <v>20</v>
      </c>
      <c r="F33" s="7" t="str">
        <f t="shared" si="0"/>
        <v>Y</v>
      </c>
      <c r="I33" s="11"/>
    </row>
    <row r="34" spans="1:9" s="7" customFormat="1" x14ac:dyDescent="0.25">
      <c r="A34" s="8" t="s">
        <v>36</v>
      </c>
      <c r="B34" s="9">
        <v>0.5</v>
      </c>
      <c r="C34" s="21" t="str" cm="1">
        <f t="array" ref="C34">_xlfn.IFS(F34&lt;="F","0",F34&lt;="M","1",F34&lt;="Z","2")</f>
        <v>0</v>
      </c>
      <c r="D34" s="25" cm="1">
        <f t="array" ref="D34">_xlfn.IFS(C34=$I$2,$J$2*(B34/$K$2),C34=$I$3,$J$3*(B34/$K$3),C34=$I$4,$J$4*B34)</f>
        <v>2</v>
      </c>
      <c r="F34" s="7" t="str">
        <f t="shared" si="0"/>
        <v>A</v>
      </c>
      <c r="I34" s="11"/>
    </row>
    <row r="35" spans="1:9" s="7" customFormat="1" x14ac:dyDescent="0.25">
      <c r="A35" s="8" t="s">
        <v>37</v>
      </c>
      <c r="B35" s="9">
        <v>1</v>
      </c>
      <c r="C35" s="21" t="str" cm="1">
        <f t="array" ref="C35">_xlfn.IFS(F35&lt;="F","0",F35&lt;="M","1",F35&lt;="Z","2")</f>
        <v>0</v>
      </c>
      <c r="D35" s="25" cm="1">
        <f t="array" ref="D35">_xlfn.IFS(C35=$I$2,$J$2*(B35/$K$2),C35=$I$3,$J$3*(B35/$K$3),C35=$I$4,$J$4*B35)</f>
        <v>4</v>
      </c>
      <c r="F35" s="7" t="str">
        <f t="shared" si="0"/>
        <v>C</v>
      </c>
      <c r="I35" s="11"/>
    </row>
    <row r="36" spans="1:9" s="7" customFormat="1" x14ac:dyDescent="0.25">
      <c r="A36" s="8" t="s">
        <v>38</v>
      </c>
      <c r="B36" s="9">
        <v>2</v>
      </c>
      <c r="C36" s="21" t="str" cm="1">
        <f t="array" ref="C36">_xlfn.IFS(F36&lt;="F","0",F36&lt;="M","1",F36&lt;="Z","2")</f>
        <v>0</v>
      </c>
      <c r="D36" s="25" cm="1">
        <f t="array" ref="D36">_xlfn.IFS(C36=$I$2,$J$2*(B36/$K$2),C36=$I$3,$J$3*(B36/$K$3),C36=$I$4,$J$4*B36)</f>
        <v>8</v>
      </c>
      <c r="F36" s="7" t="str">
        <f t="shared" si="0"/>
        <v>E</v>
      </c>
      <c r="I36" s="11"/>
    </row>
    <row r="37" spans="1:9" s="7" customFormat="1" x14ac:dyDescent="0.25">
      <c r="A37" s="8" t="s">
        <v>39</v>
      </c>
      <c r="B37" s="9">
        <v>3</v>
      </c>
      <c r="C37" s="21" t="str" cm="1">
        <f t="array" ref="C37">_xlfn.IFS(F37&lt;="F","0",F37&lt;="M","1",F37&lt;="Z","2")</f>
        <v>1</v>
      </c>
      <c r="D37" s="25" cm="1">
        <f t="array" ref="D37">_xlfn.IFS(C37=$I$2,$J$2*(B37/$K$2),C37=$I$3,$J$3*(B37/$K$3),C37=$I$4,$J$4*B37)</f>
        <v>9</v>
      </c>
      <c r="F37" s="7" t="str">
        <f t="shared" si="0"/>
        <v>G</v>
      </c>
      <c r="I37" s="11"/>
    </row>
    <row r="38" spans="1:9" s="7" customFormat="1" x14ac:dyDescent="0.25">
      <c r="A38" s="8" t="s">
        <v>40</v>
      </c>
      <c r="B38" s="9">
        <v>4</v>
      </c>
      <c r="C38" s="21" t="str" cm="1">
        <f t="array" ref="C38">_xlfn.IFS(F38&lt;="F","0",F38&lt;="M","1",F38&lt;="Z","2")</f>
        <v>1</v>
      </c>
      <c r="D38" s="25" cm="1">
        <f t="array" ref="D38">_xlfn.IFS(C38=$I$2,$J$2*(B38/$K$2),C38=$I$3,$J$3*(B38/$K$3),C38=$I$4,$J$4*B38)</f>
        <v>12</v>
      </c>
      <c r="F38" s="7" t="str">
        <f t="shared" si="0"/>
        <v>I</v>
      </c>
      <c r="I38" s="11"/>
    </row>
    <row r="39" spans="1:9" s="7" customFormat="1" x14ac:dyDescent="0.25">
      <c r="A39" s="8" t="s">
        <v>41</v>
      </c>
      <c r="B39" s="9">
        <v>5</v>
      </c>
      <c r="C39" s="21" t="str" cm="1">
        <f t="array" ref="C39">_xlfn.IFS(F39&lt;="F","0",F39&lt;="M","1",F39&lt;="Z","2")</f>
        <v>1</v>
      </c>
      <c r="D39" s="25" cm="1">
        <f t="array" ref="D39">_xlfn.IFS(C39=$I$2,$J$2*(B39/$K$2),C39=$I$3,$J$3*(B39/$K$3),C39=$I$4,$J$4*B39)</f>
        <v>15</v>
      </c>
      <c r="F39" s="7" t="str">
        <f t="shared" si="0"/>
        <v>K</v>
      </c>
      <c r="I39" s="11"/>
    </row>
    <row r="40" spans="1:9" s="7" customFormat="1" x14ac:dyDescent="0.25">
      <c r="A40" s="8" t="s">
        <v>42</v>
      </c>
      <c r="B40" s="9">
        <v>6</v>
      </c>
      <c r="C40" s="21" t="str" cm="1">
        <f t="array" ref="C40">_xlfn.IFS(F40&lt;="F","0",F40&lt;="M","1",F40&lt;="Z","2")</f>
        <v>1</v>
      </c>
      <c r="D40" s="25" cm="1">
        <f t="array" ref="D40">_xlfn.IFS(C40=$I$2,$J$2*(B40/$K$2),C40=$I$3,$J$3*(B40/$K$3),C40=$I$4,$J$4*B40)</f>
        <v>18</v>
      </c>
      <c r="F40" s="7" t="str">
        <f t="shared" si="0"/>
        <v>M</v>
      </c>
      <c r="I40" s="11"/>
    </row>
    <row r="41" spans="1:9" s="7" customFormat="1" x14ac:dyDescent="0.25">
      <c r="A41" s="8" t="s">
        <v>43</v>
      </c>
      <c r="B41" s="9">
        <v>7</v>
      </c>
      <c r="C41" s="21" t="str" cm="1">
        <f t="array" ref="C41">_xlfn.IFS(F41&lt;="F","0",F41&lt;="M","1",F41&lt;="Z","2")</f>
        <v>2</v>
      </c>
      <c r="D41" s="25" cm="1">
        <f t="array" ref="D41">_xlfn.IFS(C41=$I$2,$J$2*(B41/$K$2),C41=$I$3,$J$3*(B41/$K$3),C41=$I$4,$J$4*B41)</f>
        <v>14</v>
      </c>
      <c r="F41" s="7" t="str">
        <f t="shared" si="0"/>
        <v>O</v>
      </c>
      <c r="I41" s="11"/>
    </row>
    <row r="42" spans="1:9" s="7" customFormat="1" x14ac:dyDescent="0.25">
      <c r="A42" s="8" t="s">
        <v>44</v>
      </c>
      <c r="B42" s="9">
        <v>8</v>
      </c>
      <c r="C42" s="21" t="str" cm="1">
        <f t="array" ref="C42">_xlfn.IFS(F42&lt;="F","0",F42&lt;="M","1",F42&lt;="Z","2")</f>
        <v>2</v>
      </c>
      <c r="D42" s="25" cm="1">
        <f t="array" ref="D42">_xlfn.IFS(C42=$I$2,$J$2*(B42/$K$2),C42=$I$3,$J$3*(B42/$K$3),C42=$I$4,$J$4*B42)</f>
        <v>16</v>
      </c>
      <c r="F42" s="7" t="str">
        <f t="shared" si="0"/>
        <v>Q</v>
      </c>
      <c r="I42" s="11"/>
    </row>
    <row r="43" spans="1:9" s="7" customFormat="1" x14ac:dyDescent="0.25">
      <c r="A43" s="8" t="s">
        <v>45</v>
      </c>
      <c r="B43" s="9">
        <v>9</v>
      </c>
      <c r="C43" s="21" t="str" cm="1">
        <f t="array" ref="C43">_xlfn.IFS(F43&lt;="F","0",F43&lt;="M","1",F43&lt;="Z","2")</f>
        <v>2</v>
      </c>
      <c r="D43" s="25" cm="1">
        <f t="array" ref="D43">_xlfn.IFS(C43=$I$2,$J$2*(B43/$K$2),C43=$I$3,$J$3*(B43/$K$3),C43=$I$4,$J$4*B43)</f>
        <v>18</v>
      </c>
      <c r="F43" s="7" t="str">
        <f t="shared" si="0"/>
        <v>S</v>
      </c>
      <c r="I43" s="11"/>
    </row>
    <row r="44" spans="1:9" s="7" customFormat="1" x14ac:dyDescent="0.25">
      <c r="A44" s="8" t="s">
        <v>7</v>
      </c>
      <c r="B44" s="9">
        <v>10</v>
      </c>
      <c r="C44" s="21" t="str" cm="1">
        <f t="array" ref="C44">_xlfn.IFS(F44&lt;="F","0",F44&lt;="M","1",F44&lt;="Z","2")</f>
        <v>2</v>
      </c>
      <c r="D44" s="25" cm="1">
        <f t="array" ref="D44">_xlfn.IFS(C44=$I$2,$J$2*(B44/$K$2),C44=$I$3,$J$3*(B44/$K$3),C44=$I$4,$J$4*B44)</f>
        <v>20</v>
      </c>
      <c r="F44" s="7" t="str">
        <f t="shared" si="0"/>
        <v>U</v>
      </c>
      <c r="I44" s="11"/>
    </row>
    <row r="45" spans="1:9" s="7" customFormat="1" x14ac:dyDescent="0.25">
      <c r="A45" s="8" t="s">
        <v>46</v>
      </c>
      <c r="B45" s="9">
        <v>0.5</v>
      </c>
      <c r="C45" s="21" t="str" cm="1">
        <f t="array" ref="C45">_xlfn.IFS(F45&lt;="F","0",F45&lt;="M","1",F45&lt;="Z","2")</f>
        <v>2</v>
      </c>
      <c r="D45" s="25" cm="1">
        <f t="array" ref="D45">_xlfn.IFS(C45=$I$2,$J$2*(B45/$K$2),C45=$I$3,$J$3*(B45/$K$3),C45=$I$4,$J$4*B45)</f>
        <v>1</v>
      </c>
      <c r="F45" s="7" t="str">
        <f t="shared" si="0"/>
        <v>W</v>
      </c>
      <c r="I45" s="11"/>
    </row>
    <row r="46" spans="1:9" s="7" customFormat="1" x14ac:dyDescent="0.25">
      <c r="A46" s="8" t="s">
        <v>47</v>
      </c>
      <c r="B46" s="9">
        <v>1</v>
      </c>
      <c r="C46" s="21" t="str" cm="1">
        <f t="array" ref="C46">_xlfn.IFS(F46&lt;="F","0",F46&lt;="M","1",F46&lt;="Z","2")</f>
        <v>2</v>
      </c>
      <c r="D46" s="25" cm="1">
        <f t="array" ref="D46">_xlfn.IFS(C46=$I$2,$J$2*(B46/$K$2),C46=$I$3,$J$3*(B46/$K$3),C46=$I$4,$J$4*B46)</f>
        <v>2</v>
      </c>
      <c r="F46" s="7" t="str">
        <f t="shared" si="0"/>
        <v>Y</v>
      </c>
      <c r="I46" s="11"/>
    </row>
    <row r="47" spans="1:9" s="7" customFormat="1" x14ac:dyDescent="0.25">
      <c r="A47" s="8" t="s">
        <v>48</v>
      </c>
      <c r="B47" s="9">
        <v>2</v>
      </c>
      <c r="C47" s="21" t="str" cm="1">
        <f t="array" ref="C47">_xlfn.IFS(F47&lt;="F","0",F47&lt;="M","1",F47&lt;="Z","2")</f>
        <v>0</v>
      </c>
      <c r="D47" s="25" cm="1">
        <f t="array" ref="D47">_xlfn.IFS(C47=$I$2,$J$2*(B47/$K$2),C47=$I$3,$J$3*(B47/$K$3),C47=$I$4,$J$4*B47)</f>
        <v>8</v>
      </c>
      <c r="F47" s="7" t="str">
        <f t="shared" si="0"/>
        <v>A</v>
      </c>
      <c r="I47" s="11"/>
    </row>
    <row r="48" spans="1:9" s="7" customFormat="1" x14ac:dyDescent="0.25">
      <c r="A48" s="8" t="s">
        <v>49</v>
      </c>
      <c r="B48" s="9">
        <v>3</v>
      </c>
      <c r="C48" s="21" t="str" cm="1">
        <f t="array" ref="C48">_xlfn.IFS(F48&lt;="F","0",F48&lt;="M","1",F48&lt;="Z","2")</f>
        <v>0</v>
      </c>
      <c r="D48" s="25" cm="1">
        <f t="array" ref="D48">_xlfn.IFS(C48=$I$2,$J$2*(B48/$K$2),C48=$I$3,$J$3*(B48/$K$3),C48=$I$4,$J$4*B48)</f>
        <v>12</v>
      </c>
      <c r="F48" s="7" t="str">
        <f t="shared" si="0"/>
        <v>C</v>
      </c>
      <c r="I48" s="11"/>
    </row>
    <row r="49" spans="1:9" s="7" customFormat="1" x14ac:dyDescent="0.25">
      <c r="A49" s="8" t="s">
        <v>50</v>
      </c>
      <c r="B49" s="9">
        <v>4</v>
      </c>
      <c r="C49" s="21" t="str" cm="1">
        <f t="array" ref="C49">_xlfn.IFS(F49&lt;="F","0",F49&lt;="M","1",F49&lt;="Z","2")</f>
        <v>0</v>
      </c>
      <c r="D49" s="25" cm="1">
        <f t="array" ref="D49">_xlfn.IFS(C49=$I$2,$J$2*(B49/$K$2),C49=$I$3,$J$3*(B49/$K$3),C49=$I$4,$J$4*B49)</f>
        <v>16</v>
      </c>
      <c r="F49" s="7" t="str">
        <f t="shared" si="0"/>
        <v>E</v>
      </c>
      <c r="I49" s="11"/>
    </row>
    <row r="50" spans="1:9" s="7" customFormat="1" x14ac:dyDescent="0.25">
      <c r="A50" s="8" t="s">
        <v>51</v>
      </c>
      <c r="B50" s="9">
        <v>5</v>
      </c>
      <c r="C50" s="21" t="str" cm="1">
        <f t="array" ref="C50">_xlfn.IFS(F50&lt;="F","0",F50&lt;="M","1",F50&lt;="Z","2")</f>
        <v>1</v>
      </c>
      <c r="D50" s="25" cm="1">
        <f t="array" ref="D50">_xlfn.IFS(C50=$I$2,$J$2*(B50/$K$2),C50=$I$3,$J$3*(B50/$K$3),C50=$I$4,$J$4*B50)</f>
        <v>15</v>
      </c>
      <c r="F50" s="7" t="str">
        <f t="shared" si="0"/>
        <v>G</v>
      </c>
      <c r="I50" s="11"/>
    </row>
    <row r="51" spans="1:9" s="7" customFormat="1" x14ac:dyDescent="0.25">
      <c r="A51" s="8" t="s">
        <v>52</v>
      </c>
      <c r="B51" s="9">
        <v>6</v>
      </c>
      <c r="C51" s="21" t="str" cm="1">
        <f t="array" ref="C51">_xlfn.IFS(F51&lt;="F","0",F51&lt;="M","1",F51&lt;="Z","2")</f>
        <v>1</v>
      </c>
      <c r="D51" s="25" cm="1">
        <f t="array" ref="D51">_xlfn.IFS(C51=$I$2,$J$2*(B51/$K$2),C51=$I$3,$J$3*(B51/$K$3),C51=$I$4,$J$4*B51)</f>
        <v>18</v>
      </c>
      <c r="F51" s="7" t="str">
        <f t="shared" si="0"/>
        <v>I</v>
      </c>
      <c r="I51" s="11"/>
    </row>
    <row r="52" spans="1:9" s="7" customFormat="1" x14ac:dyDescent="0.25">
      <c r="A52" s="8" t="s">
        <v>53</v>
      </c>
      <c r="B52" s="9">
        <v>7</v>
      </c>
      <c r="C52" s="21" t="str" cm="1">
        <f t="array" ref="C52">_xlfn.IFS(F52&lt;="F","0",F52&lt;="M","1",F52&lt;="Z","2")</f>
        <v>1</v>
      </c>
      <c r="D52" s="25" cm="1">
        <f t="array" ref="D52">_xlfn.IFS(C52=$I$2,$J$2*(B52/$K$2),C52=$I$3,$J$3*(B52/$K$3),C52=$I$4,$J$4*B52)</f>
        <v>21</v>
      </c>
      <c r="F52" s="7" t="str">
        <f t="shared" si="0"/>
        <v>K</v>
      </c>
      <c r="I52" s="11"/>
    </row>
    <row r="53" spans="1:9" s="7" customFormat="1" x14ac:dyDescent="0.25">
      <c r="A53" s="8" t="s">
        <v>54</v>
      </c>
      <c r="B53" s="9">
        <v>8</v>
      </c>
      <c r="C53" s="21" t="str" cm="1">
        <f t="array" ref="C53">_xlfn.IFS(F53&lt;="F","0",F53&lt;="M","1",F53&lt;="Z","2")</f>
        <v>1</v>
      </c>
      <c r="D53" s="25" cm="1">
        <f t="array" ref="D53">_xlfn.IFS(C53=$I$2,$J$2*(B53/$K$2),C53=$I$3,$J$3*(B53/$K$3),C53=$I$4,$J$4*B53)</f>
        <v>24</v>
      </c>
      <c r="F53" s="7" t="str">
        <f t="shared" si="0"/>
        <v>M</v>
      </c>
      <c r="I53" s="11"/>
    </row>
    <row r="54" spans="1:9" s="7" customFormat="1" x14ac:dyDescent="0.25">
      <c r="A54" s="8" t="s">
        <v>55</v>
      </c>
      <c r="B54" s="9">
        <v>9</v>
      </c>
      <c r="C54" s="21" t="str" cm="1">
        <f t="array" ref="C54">_xlfn.IFS(F54&lt;="F","0",F54&lt;="M","1",F54&lt;="Z","2")</f>
        <v>2</v>
      </c>
      <c r="D54" s="25" cm="1">
        <f t="array" ref="D54">_xlfn.IFS(C54=$I$2,$J$2*(B54/$K$2),C54=$I$3,$J$3*(B54/$K$3),C54=$I$4,$J$4*B54)</f>
        <v>18</v>
      </c>
      <c r="F54" s="7" t="str">
        <f t="shared" si="0"/>
        <v>O</v>
      </c>
      <c r="I54" s="11"/>
    </row>
    <row r="55" spans="1:9" s="7" customFormat="1" x14ac:dyDescent="0.25">
      <c r="A55" s="8" t="s">
        <v>56</v>
      </c>
      <c r="B55" s="9">
        <v>10</v>
      </c>
      <c r="C55" s="21" t="str" cm="1">
        <f t="array" ref="C55">_xlfn.IFS(F55&lt;="F","0",F55&lt;="M","1",F55&lt;="Z","2")</f>
        <v>2</v>
      </c>
      <c r="D55" s="25" cm="1">
        <f t="array" ref="D55">_xlfn.IFS(C55=$I$2,$J$2*(B55/$K$2),C55=$I$3,$J$3*(B55/$K$3),C55=$I$4,$J$4*B55)</f>
        <v>20</v>
      </c>
      <c r="F55" s="7" t="str">
        <f t="shared" si="0"/>
        <v>Q</v>
      </c>
      <c r="I55" s="11"/>
    </row>
    <row r="56" spans="1:9" s="7" customFormat="1" x14ac:dyDescent="0.25">
      <c r="A56" s="8" t="s">
        <v>57</v>
      </c>
      <c r="B56" s="9">
        <v>0.5</v>
      </c>
      <c r="C56" s="21" t="str" cm="1">
        <f t="array" ref="C56">_xlfn.IFS(F56&lt;="F","0",F56&lt;="M","1",F56&lt;="Z","2")</f>
        <v>2</v>
      </c>
      <c r="D56" s="25" cm="1">
        <f t="array" ref="D56">_xlfn.IFS(C56=$I$2,$J$2*(B56/$K$2),C56=$I$3,$J$3*(B56/$K$3),C56=$I$4,$J$4*B56)</f>
        <v>1</v>
      </c>
      <c r="F56" s="7" t="str">
        <f t="shared" si="0"/>
        <v>S</v>
      </c>
      <c r="I56" s="11"/>
    </row>
    <row r="57" spans="1:9" s="7" customFormat="1" x14ac:dyDescent="0.25">
      <c r="A57" s="8" t="s">
        <v>58</v>
      </c>
      <c r="B57" s="9">
        <v>1</v>
      </c>
      <c r="C57" s="21" t="str" cm="1">
        <f t="array" ref="C57">_xlfn.IFS(F57&lt;="F","0",F57&lt;="M","1",F57&lt;="Z","2")</f>
        <v>2</v>
      </c>
      <c r="D57" s="25" cm="1">
        <f t="array" ref="D57">_xlfn.IFS(C57=$I$2,$J$2*(B57/$K$2),C57=$I$3,$J$3*(B57/$K$3),C57=$I$4,$J$4*B57)</f>
        <v>2</v>
      </c>
      <c r="F57" s="7" t="str">
        <f t="shared" si="0"/>
        <v>U</v>
      </c>
      <c r="I57" s="11"/>
    </row>
    <row r="58" spans="1:9" s="7" customFormat="1" x14ac:dyDescent="0.25">
      <c r="A58" s="8" t="s">
        <v>59</v>
      </c>
      <c r="B58" s="9">
        <v>2</v>
      </c>
      <c r="C58" s="21" t="str" cm="1">
        <f t="array" ref="C58">_xlfn.IFS(F58&lt;="F","0",F58&lt;="M","1",F58&lt;="Z","2")</f>
        <v>2</v>
      </c>
      <c r="D58" s="25" cm="1">
        <f t="array" ref="D58">_xlfn.IFS(C58=$I$2,$J$2*(B58/$K$2),C58=$I$3,$J$3*(B58/$K$3),C58=$I$4,$J$4*B58)</f>
        <v>4</v>
      </c>
      <c r="F58" s="7" t="str">
        <f t="shared" si="0"/>
        <v>W</v>
      </c>
      <c r="I58" s="11"/>
    </row>
    <row r="59" spans="1:9" s="7" customFormat="1" x14ac:dyDescent="0.25">
      <c r="A59" s="8" t="s">
        <v>60</v>
      </c>
      <c r="B59" s="9">
        <v>3</v>
      </c>
      <c r="C59" s="21" t="str" cm="1">
        <f t="array" ref="C59">_xlfn.IFS(F59&lt;="F","0",F59&lt;="M","1",F59&lt;="Z","2")</f>
        <v>2</v>
      </c>
      <c r="D59" s="25" cm="1">
        <f t="array" ref="D59">_xlfn.IFS(C59=$I$2,$J$2*(B59/$K$2),C59=$I$3,$J$3*(B59/$K$3),C59=$I$4,$J$4*B59)</f>
        <v>6</v>
      </c>
      <c r="F59" s="7" t="str">
        <f t="shared" si="0"/>
        <v>Y</v>
      </c>
      <c r="I59" s="11"/>
    </row>
    <row r="60" spans="1:9" s="7" customFormat="1" x14ac:dyDescent="0.25">
      <c r="A60" s="8" t="s">
        <v>61</v>
      </c>
      <c r="B60" s="9">
        <v>4</v>
      </c>
      <c r="C60" s="21" t="str" cm="1">
        <f t="array" ref="C60">_xlfn.IFS(F60&lt;="F","0",F60&lt;="M","1",F60&lt;="Z","2")</f>
        <v>0</v>
      </c>
      <c r="D60" s="25" cm="1">
        <f t="array" ref="D60">_xlfn.IFS(C60=$I$2,$J$2*(B60/$K$2),C60=$I$3,$J$3*(B60/$K$3),C60=$I$4,$J$4*B60)</f>
        <v>16</v>
      </c>
      <c r="F60" s="7" t="str">
        <f t="shared" si="0"/>
        <v>A</v>
      </c>
      <c r="I60" s="11"/>
    </row>
    <row r="61" spans="1:9" s="7" customFormat="1" x14ac:dyDescent="0.25">
      <c r="A61" s="8" t="s">
        <v>62</v>
      </c>
      <c r="B61" s="9">
        <v>5</v>
      </c>
      <c r="C61" s="21" t="str" cm="1">
        <f t="array" ref="C61">_xlfn.IFS(F61&lt;="F","0",F61&lt;="M","1",F61&lt;="Z","2")</f>
        <v>0</v>
      </c>
      <c r="D61" s="25" cm="1">
        <f t="array" ref="D61">_xlfn.IFS(C61=$I$2,$J$2*(B61/$K$2),C61=$I$3,$J$3*(B61/$K$3),C61=$I$4,$J$4*B61)</f>
        <v>20</v>
      </c>
      <c r="F61" s="7" t="str">
        <f t="shared" si="0"/>
        <v>C</v>
      </c>
      <c r="I61" s="11"/>
    </row>
    <row r="62" spans="1:9" s="7" customFormat="1" x14ac:dyDescent="0.25">
      <c r="A62" s="8" t="s">
        <v>63</v>
      </c>
      <c r="B62" s="9">
        <v>6</v>
      </c>
      <c r="C62" s="21" t="str" cm="1">
        <f t="array" ref="C62">_xlfn.IFS(F62&lt;="F","0",F62&lt;="M","1",F62&lt;="Z","2")</f>
        <v>0</v>
      </c>
      <c r="D62" s="25" cm="1">
        <f t="array" ref="D62">_xlfn.IFS(C62=$I$2,$J$2*(B62/$K$2),C62=$I$3,$J$3*(B62/$K$3),C62=$I$4,$J$4*B62)</f>
        <v>24</v>
      </c>
      <c r="F62" s="7" t="str">
        <f t="shared" si="0"/>
        <v>E</v>
      </c>
      <c r="I62" s="11"/>
    </row>
    <row r="63" spans="1:9" s="7" customFormat="1" x14ac:dyDescent="0.25">
      <c r="A63" s="8" t="s">
        <v>64</v>
      </c>
      <c r="B63" s="9">
        <v>7</v>
      </c>
      <c r="C63" s="21" t="str" cm="1">
        <f t="array" ref="C63">_xlfn.IFS(F63&lt;="F","0",F63&lt;="M","1",F63&lt;="Z","2")</f>
        <v>1</v>
      </c>
      <c r="D63" s="25" cm="1">
        <f t="array" ref="D63">_xlfn.IFS(C63=$I$2,$J$2*(B63/$K$2),C63=$I$3,$J$3*(B63/$K$3),C63=$I$4,$J$4*B63)</f>
        <v>21</v>
      </c>
      <c r="F63" s="7" t="str">
        <f t="shared" si="0"/>
        <v>G</v>
      </c>
      <c r="I63" s="11"/>
    </row>
    <row r="64" spans="1:9" s="7" customFormat="1" x14ac:dyDescent="0.25">
      <c r="A64" s="8" t="s">
        <v>65</v>
      </c>
      <c r="B64" s="9">
        <v>8</v>
      </c>
      <c r="C64" s="21" t="str" cm="1">
        <f t="array" ref="C64">_xlfn.IFS(F64&lt;="F","0",F64&lt;="M","1",F64&lt;="Z","2")</f>
        <v>1</v>
      </c>
      <c r="D64" s="25" cm="1">
        <f t="array" ref="D64">_xlfn.IFS(C64=$I$2,$J$2*(B64/$K$2),C64=$I$3,$J$3*(B64/$K$3),C64=$I$4,$J$4*B64)</f>
        <v>24</v>
      </c>
      <c r="F64" s="7" t="str">
        <f t="shared" si="0"/>
        <v>I</v>
      </c>
      <c r="I64" s="11"/>
    </row>
    <row r="65" spans="1:9" s="7" customFormat="1" x14ac:dyDescent="0.25">
      <c r="A65" s="8" t="s">
        <v>66</v>
      </c>
      <c r="B65" s="9">
        <v>9</v>
      </c>
      <c r="C65" s="21" t="str" cm="1">
        <f t="array" ref="C65">_xlfn.IFS(F65&lt;="F","0",F65&lt;="M","1",F65&lt;="Z","2")</f>
        <v>1</v>
      </c>
      <c r="D65" s="25" cm="1">
        <f t="array" ref="D65">_xlfn.IFS(C65=$I$2,$J$2*(B65/$K$2),C65=$I$3,$J$3*(B65/$K$3),C65=$I$4,$J$4*B65)</f>
        <v>27</v>
      </c>
      <c r="F65" s="7" t="str">
        <f t="shared" si="0"/>
        <v>K</v>
      </c>
      <c r="I65" s="11"/>
    </row>
    <row r="66" spans="1:9" s="7" customFormat="1" x14ac:dyDescent="0.25">
      <c r="A66" s="8" t="s">
        <v>67</v>
      </c>
      <c r="B66" s="9">
        <v>10</v>
      </c>
      <c r="C66" s="21" t="str" cm="1">
        <f t="array" ref="C66">_xlfn.IFS(F66&lt;="F","0",F66&lt;="M","1",F66&lt;="Z","2")</f>
        <v>1</v>
      </c>
      <c r="D66" s="25" cm="1">
        <f t="array" ref="D66">_xlfn.IFS(C66=$I$2,$J$2*(B66/$K$2),C66=$I$3,$J$3*(B66/$K$3),C66=$I$4,$J$4*B66)</f>
        <v>30</v>
      </c>
      <c r="F66" s="7" t="str">
        <f t="shared" si="0"/>
        <v>M</v>
      </c>
      <c r="I66" s="11"/>
    </row>
    <row r="67" spans="1:9" s="7" customFormat="1" x14ac:dyDescent="0.25">
      <c r="A67" s="8" t="s">
        <v>68</v>
      </c>
      <c r="B67" s="9">
        <v>0.5</v>
      </c>
      <c r="C67" s="21" t="str" cm="1">
        <f t="array" ref="C67">_xlfn.IFS(F67&lt;="F","0",F67&lt;="M","1",F67&lt;="Z","2")</f>
        <v>2</v>
      </c>
      <c r="D67" s="25" cm="1">
        <f t="array" ref="D67">_xlfn.IFS(C67=$I$2,$J$2*(B67/$K$2),C67=$I$3,$J$3*(B67/$K$3),C67=$I$4,$J$4*B67)</f>
        <v>1</v>
      </c>
      <c r="F67" s="7" t="str">
        <f t="shared" ref="F67:F101" si="1">LEFT(A67,1)</f>
        <v>O</v>
      </c>
      <c r="I67" s="11"/>
    </row>
    <row r="68" spans="1:9" s="7" customFormat="1" x14ac:dyDescent="0.25">
      <c r="A68" s="8" t="s">
        <v>69</v>
      </c>
      <c r="B68" s="9">
        <v>1</v>
      </c>
      <c r="C68" s="21" t="str" cm="1">
        <f t="array" ref="C68">_xlfn.IFS(F68&lt;="F","0",F68&lt;="M","1",F68&lt;="Z","2")</f>
        <v>2</v>
      </c>
      <c r="D68" s="25" cm="1">
        <f t="array" ref="D68">_xlfn.IFS(C68=$I$2,$J$2*(B68/$K$2),C68=$I$3,$J$3*(B68/$K$3),C68=$I$4,$J$4*B68)</f>
        <v>2</v>
      </c>
      <c r="F68" s="7" t="str">
        <f t="shared" si="1"/>
        <v>Q</v>
      </c>
      <c r="I68" s="11"/>
    </row>
    <row r="69" spans="1:9" s="7" customFormat="1" x14ac:dyDescent="0.25">
      <c r="A69" s="8" t="s">
        <v>70</v>
      </c>
      <c r="B69" s="9">
        <v>2</v>
      </c>
      <c r="C69" s="21" t="str" cm="1">
        <f t="array" ref="C69">_xlfn.IFS(F69&lt;="F","0",F69&lt;="M","1",F69&lt;="Z","2")</f>
        <v>2</v>
      </c>
      <c r="D69" s="25" cm="1">
        <f t="array" ref="D69">_xlfn.IFS(C69=$I$2,$J$2*(B69/$K$2),C69=$I$3,$J$3*(B69/$K$3),C69=$I$4,$J$4*B69)</f>
        <v>4</v>
      </c>
      <c r="F69" s="7" t="str">
        <f t="shared" si="1"/>
        <v>S</v>
      </c>
      <c r="I69" s="11"/>
    </row>
    <row r="70" spans="1:9" s="7" customFormat="1" x14ac:dyDescent="0.25">
      <c r="A70" s="8" t="s">
        <v>71</v>
      </c>
      <c r="B70" s="9">
        <v>3</v>
      </c>
      <c r="C70" s="21" t="str" cm="1">
        <f t="array" ref="C70">_xlfn.IFS(F70&lt;="F","0",F70&lt;="M","1",F70&lt;="Z","2")</f>
        <v>2</v>
      </c>
      <c r="D70" s="25" cm="1">
        <f t="array" ref="D70">_xlfn.IFS(C70=$I$2,$J$2*(B70/$K$2),C70=$I$3,$J$3*(B70/$K$3),C70=$I$4,$J$4*B70)</f>
        <v>6</v>
      </c>
      <c r="F70" s="7" t="str">
        <f t="shared" si="1"/>
        <v>U</v>
      </c>
      <c r="I70" s="11"/>
    </row>
    <row r="71" spans="1:9" s="7" customFormat="1" x14ac:dyDescent="0.25">
      <c r="A71" s="8" t="s">
        <v>72</v>
      </c>
      <c r="B71" s="9">
        <v>4</v>
      </c>
      <c r="C71" s="21" t="str" cm="1">
        <f t="array" ref="C71">_xlfn.IFS(F71&lt;="F","0",F71&lt;="M","1",F71&lt;="Z","2")</f>
        <v>2</v>
      </c>
      <c r="D71" s="25" cm="1">
        <f t="array" ref="D71">_xlfn.IFS(C71=$I$2,$J$2*(B71/$K$2),C71=$I$3,$J$3*(B71/$K$3),C71=$I$4,$J$4*B71)</f>
        <v>8</v>
      </c>
      <c r="F71" s="7" t="str">
        <f t="shared" si="1"/>
        <v>W</v>
      </c>
      <c r="I71" s="11"/>
    </row>
    <row r="72" spans="1:9" s="7" customFormat="1" x14ac:dyDescent="0.25">
      <c r="A72" s="8" t="s">
        <v>73</v>
      </c>
      <c r="B72" s="9">
        <v>5</v>
      </c>
      <c r="C72" s="21" t="str" cm="1">
        <f t="array" ref="C72">_xlfn.IFS(F72&lt;="F","0",F72&lt;="M","1",F72&lt;="Z","2")</f>
        <v>2</v>
      </c>
      <c r="D72" s="25" cm="1">
        <f t="array" ref="D72">_xlfn.IFS(C72=$I$2,$J$2*(B72/$K$2),C72=$I$3,$J$3*(B72/$K$3),C72=$I$4,$J$4*B72)</f>
        <v>10</v>
      </c>
      <c r="F72" s="7" t="str">
        <f t="shared" si="1"/>
        <v>Y</v>
      </c>
      <c r="I72" s="11"/>
    </row>
    <row r="73" spans="1:9" s="7" customFormat="1" x14ac:dyDescent="0.25">
      <c r="A73" s="8" t="s">
        <v>74</v>
      </c>
      <c r="B73" s="9">
        <v>6</v>
      </c>
      <c r="C73" s="21" t="str" cm="1">
        <f t="array" ref="C73">_xlfn.IFS(F73&lt;="F","0",F73&lt;="M","1",F73&lt;="Z","2")</f>
        <v>0</v>
      </c>
      <c r="D73" s="25" cm="1">
        <f t="array" ref="D73">_xlfn.IFS(C73=$I$2,$J$2*(B73/$K$2),C73=$I$3,$J$3*(B73/$K$3),C73=$I$4,$J$4*B73)</f>
        <v>24</v>
      </c>
      <c r="F73" s="7" t="str">
        <f t="shared" si="1"/>
        <v>A</v>
      </c>
      <c r="I73" s="11"/>
    </row>
    <row r="74" spans="1:9" s="7" customFormat="1" x14ac:dyDescent="0.25">
      <c r="A74" s="8" t="s">
        <v>75</v>
      </c>
      <c r="B74" s="9">
        <v>7</v>
      </c>
      <c r="C74" s="21" t="str" cm="1">
        <f t="array" ref="C74">_xlfn.IFS(F74&lt;="F","0",F74&lt;="M","1",F74&lt;="Z","2")</f>
        <v>0</v>
      </c>
      <c r="D74" s="25" cm="1">
        <f t="array" ref="D74">_xlfn.IFS(C74=$I$2,$J$2*(B74/$K$2),C74=$I$3,$J$3*(B74/$K$3),C74=$I$4,$J$4*B74)</f>
        <v>28</v>
      </c>
      <c r="F74" s="7" t="str">
        <f t="shared" si="1"/>
        <v>C</v>
      </c>
      <c r="I74" s="11"/>
    </row>
    <row r="75" spans="1:9" s="7" customFormat="1" x14ac:dyDescent="0.25">
      <c r="A75" s="8" t="s">
        <v>76</v>
      </c>
      <c r="B75" s="9">
        <v>8</v>
      </c>
      <c r="C75" s="21" t="str" cm="1">
        <f t="array" ref="C75">_xlfn.IFS(F75&lt;="F","0",F75&lt;="M","1",F75&lt;="Z","2")</f>
        <v>0</v>
      </c>
      <c r="D75" s="25" cm="1">
        <f t="array" ref="D75">_xlfn.IFS(C75=$I$2,$J$2*(B75/$K$2),C75=$I$3,$J$3*(B75/$K$3),C75=$I$4,$J$4*B75)</f>
        <v>32</v>
      </c>
      <c r="F75" s="7" t="str">
        <f t="shared" si="1"/>
        <v>E</v>
      </c>
      <c r="I75" s="11"/>
    </row>
    <row r="76" spans="1:9" s="7" customFormat="1" x14ac:dyDescent="0.25">
      <c r="A76" s="8" t="s">
        <v>77</v>
      </c>
      <c r="B76" s="9">
        <v>9</v>
      </c>
      <c r="C76" s="21" t="str" cm="1">
        <f t="array" ref="C76">_xlfn.IFS(F76&lt;="F","0",F76&lt;="M","1",F76&lt;="Z","2")</f>
        <v>1</v>
      </c>
      <c r="D76" s="25" cm="1">
        <f t="array" ref="D76">_xlfn.IFS(C76=$I$2,$J$2*(B76/$K$2),C76=$I$3,$J$3*(B76/$K$3),C76=$I$4,$J$4*B76)</f>
        <v>27</v>
      </c>
      <c r="F76" s="7" t="str">
        <f t="shared" si="1"/>
        <v>G</v>
      </c>
      <c r="I76" s="11"/>
    </row>
    <row r="77" spans="1:9" s="7" customFormat="1" x14ac:dyDescent="0.25">
      <c r="A77" s="8" t="s">
        <v>78</v>
      </c>
      <c r="B77" s="9">
        <v>10</v>
      </c>
      <c r="C77" s="21" t="str" cm="1">
        <f t="array" ref="C77">_xlfn.IFS(F77&lt;="F","0",F77&lt;="M","1",F77&lt;="Z","2")</f>
        <v>1</v>
      </c>
      <c r="D77" s="25" cm="1">
        <f t="array" ref="D77">_xlfn.IFS(C77=$I$2,$J$2*(B77/$K$2),C77=$I$3,$J$3*(B77/$K$3),C77=$I$4,$J$4*B77)</f>
        <v>30</v>
      </c>
      <c r="F77" s="7" t="str">
        <f t="shared" si="1"/>
        <v>I</v>
      </c>
      <c r="I77" s="11"/>
    </row>
    <row r="78" spans="1:9" s="7" customFormat="1" x14ac:dyDescent="0.25">
      <c r="A78" s="8" t="s">
        <v>79</v>
      </c>
      <c r="B78" s="9">
        <v>0.5</v>
      </c>
      <c r="C78" s="21" t="str" cm="1">
        <f t="array" ref="C78">_xlfn.IFS(F78&lt;="F","0",F78&lt;="M","1",F78&lt;="Z","2")</f>
        <v>1</v>
      </c>
      <c r="D78" s="25" cm="1">
        <f t="array" ref="D78">_xlfn.IFS(C78=$I$2,$J$2*(B78/$K$2),C78=$I$3,$J$3*(B78/$K$3),C78=$I$4,$J$4*B78)</f>
        <v>1.5</v>
      </c>
      <c r="F78" s="7" t="str">
        <f t="shared" si="1"/>
        <v>K</v>
      </c>
      <c r="I78" s="11"/>
    </row>
    <row r="79" spans="1:9" s="7" customFormat="1" x14ac:dyDescent="0.25">
      <c r="A79" s="8" t="s">
        <v>80</v>
      </c>
      <c r="B79" s="9">
        <v>1</v>
      </c>
      <c r="C79" s="21" t="str" cm="1">
        <f t="array" ref="C79">_xlfn.IFS(F79&lt;="F","0",F79&lt;="M","1",F79&lt;="Z","2")</f>
        <v>1</v>
      </c>
      <c r="D79" s="25" cm="1">
        <f t="array" ref="D79">_xlfn.IFS(C79=$I$2,$J$2*(B79/$K$2),C79=$I$3,$J$3*(B79/$K$3),C79=$I$4,$J$4*B79)</f>
        <v>3</v>
      </c>
      <c r="F79" s="7" t="str">
        <f t="shared" si="1"/>
        <v>M</v>
      </c>
      <c r="I79" s="11"/>
    </row>
    <row r="80" spans="1:9" s="7" customFormat="1" x14ac:dyDescent="0.25">
      <c r="A80" s="8" t="s">
        <v>81</v>
      </c>
      <c r="B80" s="9">
        <v>2</v>
      </c>
      <c r="C80" s="21" t="str" cm="1">
        <f t="array" ref="C80">_xlfn.IFS(F80&lt;="F","0",F80&lt;="M","1",F80&lt;="Z","2")</f>
        <v>2</v>
      </c>
      <c r="D80" s="25" cm="1">
        <f t="array" ref="D80">_xlfn.IFS(C80=$I$2,$J$2*(B80/$K$2),C80=$I$3,$J$3*(B80/$K$3),C80=$I$4,$J$4*B80)</f>
        <v>4</v>
      </c>
      <c r="F80" s="7" t="str">
        <f t="shared" si="1"/>
        <v>O</v>
      </c>
      <c r="I80" s="11"/>
    </row>
    <row r="81" spans="1:9" s="7" customFormat="1" x14ac:dyDescent="0.25">
      <c r="A81" s="8" t="s">
        <v>82</v>
      </c>
      <c r="B81" s="9">
        <v>3</v>
      </c>
      <c r="C81" s="21" t="str" cm="1">
        <f t="array" ref="C81">_xlfn.IFS(F81&lt;="F","0",F81&lt;="M","1",F81&lt;="Z","2")</f>
        <v>2</v>
      </c>
      <c r="D81" s="25" cm="1">
        <f t="array" ref="D81">_xlfn.IFS(C81=$I$2,$J$2*(B81/$K$2),C81=$I$3,$J$3*(B81/$K$3),C81=$I$4,$J$4*B81)</f>
        <v>6</v>
      </c>
      <c r="F81" s="7" t="str">
        <f t="shared" si="1"/>
        <v>Q</v>
      </c>
      <c r="I81" s="11"/>
    </row>
    <row r="82" spans="1:9" s="7" customFormat="1" x14ac:dyDescent="0.25">
      <c r="A82" s="8" t="s">
        <v>83</v>
      </c>
      <c r="B82" s="9">
        <v>4</v>
      </c>
      <c r="C82" s="21" t="str" cm="1">
        <f t="array" ref="C82">_xlfn.IFS(F82&lt;="F","0",F82&lt;="M","1",F82&lt;="Z","2")</f>
        <v>2</v>
      </c>
      <c r="D82" s="25" cm="1">
        <f t="array" ref="D82">_xlfn.IFS(C82=$I$2,$J$2*(B82/$K$2),C82=$I$3,$J$3*(B82/$K$3),C82=$I$4,$J$4*B82)</f>
        <v>8</v>
      </c>
      <c r="F82" s="7" t="str">
        <f t="shared" si="1"/>
        <v>S</v>
      </c>
      <c r="I82" s="11"/>
    </row>
    <row r="83" spans="1:9" s="7" customFormat="1" x14ac:dyDescent="0.25">
      <c r="A83" s="8" t="s">
        <v>84</v>
      </c>
      <c r="B83" s="9">
        <v>5</v>
      </c>
      <c r="C83" s="21" t="str" cm="1">
        <f t="array" ref="C83">_xlfn.IFS(F83&lt;="F","0",F83&lt;="M","1",F83&lt;="Z","2")</f>
        <v>2</v>
      </c>
      <c r="D83" s="25" cm="1">
        <f t="array" ref="D83">_xlfn.IFS(C83=$I$2,$J$2*(B83/$K$2),C83=$I$3,$J$3*(B83/$K$3),C83=$I$4,$J$4*B83)</f>
        <v>10</v>
      </c>
      <c r="F83" s="7" t="str">
        <f t="shared" si="1"/>
        <v>U</v>
      </c>
      <c r="I83" s="11"/>
    </row>
    <row r="84" spans="1:9" s="7" customFormat="1" x14ac:dyDescent="0.25">
      <c r="A84" s="8" t="s">
        <v>85</v>
      </c>
      <c r="B84" s="9">
        <v>6</v>
      </c>
      <c r="C84" s="21" t="str" cm="1">
        <f t="array" ref="C84">_xlfn.IFS(F84&lt;="F","0",F84&lt;="M","1",F84&lt;="Z","2")</f>
        <v>2</v>
      </c>
      <c r="D84" s="25" cm="1">
        <f t="array" ref="D84">_xlfn.IFS(C84=$I$2,$J$2*(B84/$K$2),C84=$I$3,$J$3*(B84/$K$3),C84=$I$4,$J$4*B84)</f>
        <v>12</v>
      </c>
      <c r="F84" s="7" t="str">
        <f t="shared" si="1"/>
        <v>W</v>
      </c>
      <c r="I84" s="11"/>
    </row>
    <row r="85" spans="1:9" s="7" customFormat="1" x14ac:dyDescent="0.25">
      <c r="A85" s="8" t="s">
        <v>86</v>
      </c>
      <c r="B85" s="9">
        <v>7</v>
      </c>
      <c r="C85" s="21" t="str" cm="1">
        <f t="array" ref="C85">_xlfn.IFS(F85&lt;="F","0",F85&lt;="M","1",F85&lt;="Z","2")</f>
        <v>2</v>
      </c>
      <c r="D85" s="25" cm="1">
        <f t="array" ref="D85">_xlfn.IFS(C85=$I$2,$J$2*(B85/$K$2),C85=$I$3,$J$3*(B85/$K$3),C85=$I$4,$J$4*B85)</f>
        <v>14</v>
      </c>
      <c r="F85" s="7" t="str">
        <f t="shared" si="1"/>
        <v>Y</v>
      </c>
      <c r="I85" s="11"/>
    </row>
    <row r="86" spans="1:9" s="7" customFormat="1" x14ac:dyDescent="0.25">
      <c r="A86" s="8" t="s">
        <v>87</v>
      </c>
      <c r="B86" s="9">
        <v>8</v>
      </c>
      <c r="C86" s="21" t="str" cm="1">
        <f t="array" ref="C86">_xlfn.IFS(F86&lt;="F","0",F86&lt;="M","1",F86&lt;="Z","2")</f>
        <v>0</v>
      </c>
      <c r="D86" s="25" cm="1">
        <f t="array" ref="D86">_xlfn.IFS(C86=$I$2,$J$2*(B86/$K$2),C86=$I$3,$J$3*(B86/$K$3),C86=$I$4,$J$4*B86)</f>
        <v>32</v>
      </c>
      <c r="F86" s="7" t="str">
        <f t="shared" si="1"/>
        <v>A</v>
      </c>
      <c r="I86" s="11"/>
    </row>
    <row r="87" spans="1:9" s="7" customFormat="1" x14ac:dyDescent="0.25">
      <c r="A87" s="8" t="s">
        <v>88</v>
      </c>
      <c r="B87" s="9">
        <v>9</v>
      </c>
      <c r="C87" s="21" t="str" cm="1">
        <f t="array" ref="C87">_xlfn.IFS(F87&lt;="F","0",F87&lt;="M","1",F87&lt;="Z","2")</f>
        <v>0</v>
      </c>
      <c r="D87" s="25" cm="1">
        <f t="array" ref="D87">_xlfn.IFS(C87=$I$2,$J$2*(B87/$K$2),C87=$I$3,$J$3*(B87/$K$3),C87=$I$4,$J$4*B87)</f>
        <v>36</v>
      </c>
      <c r="F87" s="7" t="str">
        <f t="shared" si="1"/>
        <v>C</v>
      </c>
      <c r="I87" s="11"/>
    </row>
    <row r="88" spans="1:9" s="7" customFormat="1" x14ac:dyDescent="0.25">
      <c r="A88" s="8" t="s">
        <v>89</v>
      </c>
      <c r="B88" s="9">
        <v>10</v>
      </c>
      <c r="C88" s="21" t="str" cm="1">
        <f t="array" ref="C88">_xlfn.IFS(F88&lt;="F","0",F88&lt;="M","1",F88&lt;="Z","2")</f>
        <v>0</v>
      </c>
      <c r="D88" s="25" cm="1">
        <f t="array" ref="D88">_xlfn.IFS(C88=$I$2,$J$2*(B88/$K$2),C88=$I$3,$J$3*(B88/$K$3),C88=$I$4,$J$4*B88)</f>
        <v>40</v>
      </c>
      <c r="F88" s="7" t="str">
        <f t="shared" si="1"/>
        <v>E</v>
      </c>
      <c r="I88" s="11"/>
    </row>
    <row r="89" spans="1:9" s="7" customFormat="1" x14ac:dyDescent="0.25">
      <c r="A89" s="8" t="s">
        <v>90</v>
      </c>
      <c r="B89" s="9">
        <v>0.5</v>
      </c>
      <c r="C89" s="21" t="str" cm="1">
        <f t="array" ref="C89">_xlfn.IFS(F89&lt;="F","0",F89&lt;="M","1",F89&lt;="Z","2")</f>
        <v>1</v>
      </c>
      <c r="D89" s="25" cm="1">
        <f t="array" ref="D89">_xlfn.IFS(C89=$I$2,$J$2*(B89/$K$2),C89=$I$3,$J$3*(B89/$K$3),C89=$I$4,$J$4*B89)</f>
        <v>1.5</v>
      </c>
      <c r="F89" s="7" t="str">
        <f t="shared" si="1"/>
        <v>G</v>
      </c>
      <c r="I89" s="11"/>
    </row>
    <row r="90" spans="1:9" s="7" customFormat="1" x14ac:dyDescent="0.25">
      <c r="A90" s="8" t="s">
        <v>91</v>
      </c>
      <c r="B90" s="9">
        <v>1</v>
      </c>
      <c r="C90" s="21" t="str" cm="1">
        <f t="array" ref="C90">_xlfn.IFS(F90&lt;="F","0",F90&lt;="M","1",F90&lt;="Z","2")</f>
        <v>1</v>
      </c>
      <c r="D90" s="25" cm="1">
        <f t="array" ref="D90">_xlfn.IFS(C90=$I$2,$J$2*(B90/$K$2),C90=$I$3,$J$3*(B90/$K$3),C90=$I$4,$J$4*B90)</f>
        <v>3</v>
      </c>
      <c r="F90" s="7" t="str">
        <f t="shared" si="1"/>
        <v>I</v>
      </c>
      <c r="I90" s="11"/>
    </row>
    <row r="91" spans="1:9" s="7" customFormat="1" x14ac:dyDescent="0.25">
      <c r="A91" s="8" t="s">
        <v>92</v>
      </c>
      <c r="B91" s="9">
        <v>2</v>
      </c>
      <c r="C91" s="21" t="str" cm="1">
        <f t="array" ref="C91">_xlfn.IFS(F91&lt;="F","0",F91&lt;="M","1",F91&lt;="Z","2")</f>
        <v>1</v>
      </c>
      <c r="D91" s="25" cm="1">
        <f t="array" ref="D91">_xlfn.IFS(C91=$I$2,$J$2*(B91/$K$2),C91=$I$3,$J$3*(B91/$K$3),C91=$I$4,$J$4*B91)</f>
        <v>6</v>
      </c>
      <c r="F91" s="7" t="str">
        <f t="shared" si="1"/>
        <v>K</v>
      </c>
      <c r="I91" s="11"/>
    </row>
    <row r="92" spans="1:9" s="7" customFormat="1" x14ac:dyDescent="0.25">
      <c r="A92" s="8" t="s">
        <v>93</v>
      </c>
      <c r="B92" s="9">
        <v>3</v>
      </c>
      <c r="C92" s="21" t="str" cm="1">
        <f t="array" ref="C92">_xlfn.IFS(F92&lt;="F","0",F92&lt;="M","1",F92&lt;="Z","2")</f>
        <v>1</v>
      </c>
      <c r="D92" s="25" cm="1">
        <f t="array" ref="D92">_xlfn.IFS(C92=$I$2,$J$2*(B92/$K$2),C92=$I$3,$J$3*(B92/$K$3),C92=$I$4,$J$4*B92)</f>
        <v>9</v>
      </c>
      <c r="F92" s="7" t="str">
        <f t="shared" si="1"/>
        <v>M</v>
      </c>
      <c r="I92" s="11"/>
    </row>
    <row r="93" spans="1:9" s="7" customFormat="1" x14ac:dyDescent="0.25">
      <c r="A93" s="8" t="s">
        <v>94</v>
      </c>
      <c r="B93" s="9">
        <v>4</v>
      </c>
      <c r="C93" s="21" t="str" cm="1">
        <f t="array" ref="C93">_xlfn.IFS(F93&lt;="F","0",F93&lt;="M","1",F93&lt;="Z","2")</f>
        <v>2</v>
      </c>
      <c r="D93" s="25" cm="1">
        <f t="array" ref="D93">_xlfn.IFS(C93=$I$2,$J$2*(B93/$K$2),C93=$I$3,$J$3*(B93/$K$3),C93=$I$4,$J$4*B93)</f>
        <v>8</v>
      </c>
      <c r="F93" s="7" t="str">
        <f t="shared" si="1"/>
        <v>O</v>
      </c>
      <c r="I93" s="11"/>
    </row>
    <row r="94" spans="1:9" s="7" customFormat="1" x14ac:dyDescent="0.25">
      <c r="A94" s="8" t="s">
        <v>95</v>
      </c>
      <c r="B94" s="9">
        <v>5</v>
      </c>
      <c r="C94" s="21" t="str" cm="1">
        <f t="array" ref="C94">_xlfn.IFS(F94&lt;="F","0",F94&lt;="M","1",F94&lt;="Z","2")</f>
        <v>2</v>
      </c>
      <c r="D94" s="25" cm="1">
        <f t="array" ref="D94">_xlfn.IFS(C94=$I$2,$J$2*(B94/$K$2),C94=$I$3,$J$3*(B94/$K$3),C94=$I$4,$J$4*B94)</f>
        <v>10</v>
      </c>
      <c r="F94" s="7" t="str">
        <f t="shared" si="1"/>
        <v>Q</v>
      </c>
      <c r="I94" s="11"/>
    </row>
    <row r="95" spans="1:9" s="7" customFormat="1" x14ac:dyDescent="0.25">
      <c r="A95" s="8" t="s">
        <v>96</v>
      </c>
      <c r="B95" s="9">
        <v>6</v>
      </c>
      <c r="C95" s="21" t="str" cm="1">
        <f t="array" ref="C95">_xlfn.IFS(F95&lt;="F","0",F95&lt;="M","1",F95&lt;="Z","2")</f>
        <v>2</v>
      </c>
      <c r="D95" s="25" cm="1">
        <f t="array" ref="D95">_xlfn.IFS(C95=$I$2,$J$2*(B95/$K$2),C95=$I$3,$J$3*(B95/$K$3),C95=$I$4,$J$4*B95)</f>
        <v>12</v>
      </c>
      <c r="F95" s="7" t="str">
        <f t="shared" si="1"/>
        <v>S</v>
      </c>
      <c r="I95" s="11"/>
    </row>
    <row r="96" spans="1:9" s="7" customFormat="1" x14ac:dyDescent="0.25">
      <c r="A96" s="8" t="s">
        <v>97</v>
      </c>
      <c r="B96" s="9">
        <v>7</v>
      </c>
      <c r="C96" s="21" t="str" cm="1">
        <f t="array" ref="C96">_xlfn.IFS(F96&lt;="F","0",F96&lt;="M","1",F96&lt;="Z","2")</f>
        <v>2</v>
      </c>
      <c r="D96" s="25" cm="1">
        <f t="array" ref="D96">_xlfn.IFS(C96=$I$2,$J$2*(B96/$K$2),C96=$I$3,$J$3*(B96/$K$3),C96=$I$4,$J$4*B96)</f>
        <v>14</v>
      </c>
      <c r="F96" s="7" t="str">
        <f t="shared" si="1"/>
        <v>U</v>
      </c>
      <c r="I96" s="11"/>
    </row>
    <row r="97" spans="1:9" s="7" customFormat="1" x14ac:dyDescent="0.25">
      <c r="A97" s="8" t="s">
        <v>98</v>
      </c>
      <c r="B97" s="9">
        <v>8</v>
      </c>
      <c r="C97" s="21" t="str" cm="1">
        <f t="array" ref="C97">_xlfn.IFS(F97&lt;="F","0",F97&lt;="M","1",F97&lt;="Z","2")</f>
        <v>2</v>
      </c>
      <c r="D97" s="25" cm="1">
        <f t="array" ref="D97">_xlfn.IFS(C97=$I$2,$J$2*(B97/$K$2),C97=$I$3,$J$3*(B97/$K$3),C97=$I$4,$J$4*B97)</f>
        <v>16</v>
      </c>
      <c r="F97" s="7" t="str">
        <f t="shared" si="1"/>
        <v>W</v>
      </c>
      <c r="I97" s="11"/>
    </row>
    <row r="98" spans="1:9" s="7" customFormat="1" x14ac:dyDescent="0.25">
      <c r="A98" s="8" t="s">
        <v>99</v>
      </c>
      <c r="B98" s="9">
        <v>9</v>
      </c>
      <c r="C98" s="21" t="str" cm="1">
        <f t="array" ref="C98">_xlfn.IFS(F98&lt;="F","0",F98&lt;="M","1",F98&lt;="Z","2")</f>
        <v>2</v>
      </c>
      <c r="D98" s="25" cm="1">
        <f t="array" ref="D98">_xlfn.IFS(C98=$I$2,$J$2*(B98/$K$2),C98=$I$3,$J$3*(B98/$K$3),C98=$I$4,$J$4*B98)</f>
        <v>18</v>
      </c>
      <c r="F98" s="7" t="str">
        <f t="shared" si="1"/>
        <v>Y</v>
      </c>
      <c r="I98" s="11"/>
    </row>
    <row r="99" spans="1:9" s="7" customFormat="1" x14ac:dyDescent="0.25">
      <c r="A99" s="8" t="s">
        <v>100</v>
      </c>
      <c r="B99" s="9">
        <v>10</v>
      </c>
      <c r="C99" s="21" t="str" cm="1">
        <f t="array" ref="C99">_xlfn.IFS(F99&lt;="F","0",F99&lt;="M","1",F99&lt;="Z","2")</f>
        <v>0</v>
      </c>
      <c r="D99" s="25" cm="1">
        <f t="array" ref="D99">_xlfn.IFS(C99=$I$2,$J$2*(B99/$K$2),C99=$I$3,$J$3*(B99/$K$3),C99=$I$4,$J$4*B99)</f>
        <v>40</v>
      </c>
      <c r="F99" s="7" t="str">
        <f t="shared" si="1"/>
        <v>A</v>
      </c>
      <c r="I99" s="11"/>
    </row>
    <row r="100" spans="1:9" s="7" customFormat="1" x14ac:dyDescent="0.25">
      <c r="A100" s="8" t="s">
        <v>101</v>
      </c>
      <c r="B100" s="9">
        <v>0.5</v>
      </c>
      <c r="C100" s="21" t="str" cm="1">
        <f t="array" ref="C100">_xlfn.IFS(F100&lt;="F","0",F100&lt;="M","1",F100&lt;="Z","2")</f>
        <v>0</v>
      </c>
      <c r="D100" s="25" cm="1">
        <f t="array" ref="D100">_xlfn.IFS(C100=$I$2,$J$2*(B100/$K$2),C100=$I$3,$J$3*(B100/$K$3),C100=$I$4,$J$4*B100)</f>
        <v>2</v>
      </c>
      <c r="F100" s="7" t="str">
        <f t="shared" si="1"/>
        <v>C</v>
      </c>
      <c r="I100" s="11"/>
    </row>
    <row r="101" spans="1:9" s="7" customFormat="1" x14ac:dyDescent="0.25">
      <c r="A101" s="8" t="s">
        <v>102</v>
      </c>
      <c r="B101" s="9">
        <v>1</v>
      </c>
      <c r="C101" s="21" t="str" cm="1">
        <f t="array" ref="C101">_xlfn.IFS(F101&lt;="F","0",F101&lt;="M","1",F101&lt;="Z","2")</f>
        <v>0</v>
      </c>
      <c r="D101" s="25" cm="1">
        <f t="array" ref="D101">_xlfn.IFS(C101=$I$2,$J$2*(B101/$K$2),C101=$I$3,$J$3*(B101/$K$3),C101=$I$4,$J$4*B101)</f>
        <v>4</v>
      </c>
      <c r="F101" s="7" t="str">
        <f t="shared" si="1"/>
        <v>E</v>
      </c>
      <c r="I101" s="11"/>
    </row>
  </sheetData>
  <mergeCells count="1">
    <mergeCell ref="I11:L12"/>
  </mergeCells>
  <phoneticPr fontId="4" type="noConversion"/>
  <pageMargins left="0.7" right="0.7" top="0.75" bottom="0.75" header="0.3" footer="0.3"/>
  <pageSetup orientation="portrait" r:id="rId1"/>
  <ignoredErrors>
    <ignoredError sqref="I2:I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workbookViewId="0">
      <selection activeCell="G9" sqref="G9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  <col min="5" max="5" width="14.109375" bestFit="1" customWidth="1"/>
    <col min="6" max="6" width="15.77734375" bestFit="1" customWidth="1"/>
    <col min="7" max="8" width="3.109375" customWidth="1"/>
    <col min="10" max="10" width="32.44140625" customWidth="1"/>
    <col min="11" max="11" width="2.77734375" customWidth="1"/>
    <col min="12" max="12" width="3.21875" customWidth="1"/>
    <col min="13" max="13" width="2.6640625" customWidth="1"/>
    <col min="14" max="14" width="32.6640625" bestFit="1" customWidth="1"/>
  </cols>
  <sheetData>
    <row r="1" spans="1:26" ht="13.8" x14ac:dyDescent="0.25">
      <c r="A1" s="1" t="s">
        <v>103</v>
      </c>
      <c r="B1" s="1" t="s">
        <v>104</v>
      </c>
      <c r="C1" s="1" t="s">
        <v>3</v>
      </c>
      <c r="D1" s="16" t="s">
        <v>113</v>
      </c>
      <c r="E1" s="17" t="s">
        <v>114</v>
      </c>
      <c r="F1" s="17" t="s">
        <v>115</v>
      </c>
      <c r="G1" s="2"/>
      <c r="H1" s="2"/>
      <c r="I1" s="19" t="s">
        <v>117</v>
      </c>
      <c r="J1" s="19" t="s">
        <v>118</v>
      </c>
      <c r="K1" s="17"/>
      <c r="L1" s="17"/>
      <c r="M1" s="17"/>
      <c r="N1" s="17" t="s">
        <v>116</v>
      </c>
      <c r="O1" s="17">
        <v>50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3" t="s">
        <v>105</v>
      </c>
      <c r="B2" s="3">
        <v>55</v>
      </c>
      <c r="C2">
        <v>0</v>
      </c>
      <c r="D2" s="18" t="s">
        <v>105</v>
      </c>
      <c r="E2" s="18">
        <f>COUNTIF($A$2:$A$47,D2)</f>
        <v>11</v>
      </c>
      <c r="F2" s="18">
        <f>SUMIFS($B$2:$B$47,$A$2:$A$47,D2)</f>
        <v>525</v>
      </c>
      <c r="I2" s="20" t="s">
        <v>109</v>
      </c>
      <c r="J2" s="20">
        <f>SUMIFS($C$2:$C$47,$A$2:$A$47,I2,$C$2:$C$47,"&gt;="&amp;O1)</f>
        <v>150</v>
      </c>
    </row>
    <row r="3" spans="1:26" ht="13.2" x14ac:dyDescent="0.25">
      <c r="A3" s="3" t="s">
        <v>106</v>
      </c>
      <c r="B3" s="3">
        <v>70</v>
      </c>
      <c r="C3" s="3">
        <v>80</v>
      </c>
      <c r="D3" s="18" t="s">
        <v>106</v>
      </c>
      <c r="E3" s="18">
        <f t="shared" ref="E3:E6" si="0">COUNTIF($A$2:$A$47,D3)</f>
        <v>14</v>
      </c>
      <c r="F3" s="18">
        <f t="shared" ref="F3:F6" si="1">SUMIFS($B$2:$B$47,$A$2:$A$47,D3)</f>
        <v>755</v>
      </c>
      <c r="I3" s="20"/>
      <c r="J3" s="20"/>
    </row>
    <row r="4" spans="1:26" ht="13.2" x14ac:dyDescent="0.25">
      <c r="A4" s="3" t="s">
        <v>107</v>
      </c>
      <c r="B4" s="3">
        <v>40</v>
      </c>
      <c r="C4" s="3">
        <v>60</v>
      </c>
      <c r="D4" s="18" t="s">
        <v>107</v>
      </c>
      <c r="E4" s="18">
        <f t="shared" si="0"/>
        <v>11</v>
      </c>
      <c r="F4" s="18">
        <f t="shared" si="1"/>
        <v>555</v>
      </c>
      <c r="I4" s="24" t="s">
        <v>121</v>
      </c>
      <c r="J4" s="24"/>
    </row>
    <row r="5" spans="1:26" ht="13.2" x14ac:dyDescent="0.25">
      <c r="A5" s="3" t="s">
        <v>105</v>
      </c>
      <c r="B5" s="3">
        <v>20</v>
      </c>
      <c r="C5" s="3">
        <v>100</v>
      </c>
      <c r="D5" s="18" t="s">
        <v>108</v>
      </c>
      <c r="E5" s="18">
        <f t="shared" si="0"/>
        <v>7</v>
      </c>
      <c r="F5" s="18">
        <f t="shared" si="1"/>
        <v>380</v>
      </c>
    </row>
    <row r="6" spans="1:26" ht="13.2" x14ac:dyDescent="0.25">
      <c r="A6" s="3" t="s">
        <v>108</v>
      </c>
      <c r="B6" s="3">
        <v>90</v>
      </c>
      <c r="C6" s="3">
        <v>30</v>
      </c>
      <c r="D6" s="18" t="s">
        <v>109</v>
      </c>
      <c r="E6" s="18">
        <f t="shared" si="0"/>
        <v>3</v>
      </c>
      <c r="F6" s="18">
        <f t="shared" si="1"/>
        <v>160</v>
      </c>
    </row>
    <row r="7" spans="1:26" ht="13.2" x14ac:dyDescent="0.25">
      <c r="A7" s="3" t="s">
        <v>106</v>
      </c>
      <c r="B7" s="3">
        <v>50</v>
      </c>
      <c r="C7" s="3">
        <v>40</v>
      </c>
      <c r="D7" s="18"/>
      <c r="E7" s="18"/>
      <c r="F7" s="18"/>
    </row>
    <row r="8" spans="1:26" ht="13.2" x14ac:dyDescent="0.25">
      <c r="A8" s="3" t="s">
        <v>107</v>
      </c>
      <c r="B8" s="3">
        <v>60</v>
      </c>
      <c r="C8" s="3">
        <v>55</v>
      </c>
      <c r="D8" s="24" t="s">
        <v>119</v>
      </c>
      <c r="E8" s="24"/>
      <c r="F8" s="18" t="s">
        <v>120</v>
      </c>
    </row>
    <row r="9" spans="1:26" ht="13.2" x14ac:dyDescent="0.25">
      <c r="A9" s="3" t="s">
        <v>105</v>
      </c>
      <c r="B9" s="3">
        <v>45</v>
      </c>
      <c r="C9" s="3">
        <v>0</v>
      </c>
    </row>
    <row r="10" spans="1:26" ht="13.2" x14ac:dyDescent="0.25">
      <c r="A10" s="3" t="s">
        <v>106</v>
      </c>
      <c r="B10" s="3">
        <v>25</v>
      </c>
      <c r="C10" s="3">
        <v>85</v>
      </c>
    </row>
    <row r="11" spans="1:26" ht="13.2" x14ac:dyDescent="0.25">
      <c r="A11" s="3" t="s">
        <v>108</v>
      </c>
      <c r="B11" s="3">
        <v>35</v>
      </c>
      <c r="C11" s="3">
        <v>50</v>
      </c>
    </row>
    <row r="12" spans="1:26" ht="13.2" x14ac:dyDescent="0.25">
      <c r="A12" s="3" t="s">
        <v>109</v>
      </c>
      <c r="B12" s="3">
        <v>60</v>
      </c>
      <c r="C12" s="3">
        <v>95</v>
      </c>
    </row>
    <row r="13" spans="1:26" ht="13.2" x14ac:dyDescent="0.25">
      <c r="A13" s="3" t="s">
        <v>107</v>
      </c>
      <c r="B13" s="3">
        <v>80</v>
      </c>
      <c r="C13" s="3">
        <v>0</v>
      </c>
    </row>
    <row r="14" spans="1:26" ht="13.2" x14ac:dyDescent="0.25">
      <c r="A14" s="3" t="s">
        <v>106</v>
      </c>
      <c r="B14" s="3">
        <v>40</v>
      </c>
      <c r="C14" s="3">
        <v>45</v>
      </c>
    </row>
    <row r="15" spans="1:26" ht="13.2" x14ac:dyDescent="0.25">
      <c r="A15" s="3" t="s">
        <v>105</v>
      </c>
      <c r="B15" s="3">
        <v>65</v>
      </c>
      <c r="C15" s="3">
        <v>65</v>
      </c>
    </row>
    <row r="16" spans="1:26" ht="13.2" x14ac:dyDescent="0.25">
      <c r="A16" s="3" t="s">
        <v>107</v>
      </c>
      <c r="B16" s="3">
        <v>55</v>
      </c>
      <c r="C16" s="3">
        <v>30</v>
      </c>
    </row>
    <row r="17" spans="1:3" ht="13.2" x14ac:dyDescent="0.25">
      <c r="A17" s="3" t="s">
        <v>108</v>
      </c>
      <c r="B17" s="3">
        <v>70</v>
      </c>
      <c r="C17" s="3">
        <v>0</v>
      </c>
    </row>
    <row r="18" spans="1:3" ht="13.2" x14ac:dyDescent="0.25">
      <c r="A18" s="3" t="s">
        <v>106</v>
      </c>
      <c r="B18" s="3">
        <v>45</v>
      </c>
      <c r="C18" s="3">
        <v>80</v>
      </c>
    </row>
    <row r="19" spans="1:3" ht="13.2" x14ac:dyDescent="0.25">
      <c r="A19" s="3" t="s">
        <v>105</v>
      </c>
      <c r="B19" s="3">
        <v>25</v>
      </c>
      <c r="C19" s="3">
        <v>60</v>
      </c>
    </row>
    <row r="20" spans="1:3" ht="13.2" x14ac:dyDescent="0.25">
      <c r="A20" s="3" t="s">
        <v>106</v>
      </c>
      <c r="B20" s="3">
        <v>35</v>
      </c>
      <c r="C20" s="3">
        <v>0</v>
      </c>
    </row>
    <row r="21" spans="1:3" ht="13.2" x14ac:dyDescent="0.25">
      <c r="A21" s="3" t="s">
        <v>107</v>
      </c>
      <c r="B21" s="3">
        <v>60</v>
      </c>
      <c r="C21" s="3">
        <v>30</v>
      </c>
    </row>
    <row r="22" spans="1:3" ht="13.2" x14ac:dyDescent="0.25">
      <c r="A22" s="3" t="s">
        <v>105</v>
      </c>
      <c r="B22" s="3">
        <v>70</v>
      </c>
      <c r="C22" s="3">
        <v>40</v>
      </c>
    </row>
    <row r="23" spans="1:3" ht="13.2" x14ac:dyDescent="0.25">
      <c r="A23" s="3" t="s">
        <v>106</v>
      </c>
      <c r="B23" s="3">
        <v>45</v>
      </c>
      <c r="C23" s="3">
        <v>55</v>
      </c>
    </row>
    <row r="24" spans="1:3" ht="13.2" x14ac:dyDescent="0.25">
      <c r="A24" s="3" t="s">
        <v>108</v>
      </c>
      <c r="B24" s="3">
        <v>25</v>
      </c>
      <c r="C24" s="3">
        <v>70</v>
      </c>
    </row>
    <row r="25" spans="1:3" ht="13.2" x14ac:dyDescent="0.25">
      <c r="A25" s="3" t="s">
        <v>109</v>
      </c>
      <c r="B25" s="3">
        <v>35</v>
      </c>
      <c r="C25" s="3">
        <v>0</v>
      </c>
    </row>
    <row r="26" spans="1:3" ht="13.2" x14ac:dyDescent="0.25">
      <c r="A26" s="3" t="s">
        <v>107</v>
      </c>
      <c r="B26" s="3">
        <v>60</v>
      </c>
      <c r="C26" s="3">
        <v>50</v>
      </c>
    </row>
    <row r="27" spans="1:3" ht="13.2" x14ac:dyDescent="0.25">
      <c r="A27" s="3" t="s">
        <v>106</v>
      </c>
      <c r="B27" s="3">
        <v>80</v>
      </c>
      <c r="C27" s="3">
        <v>95</v>
      </c>
    </row>
    <row r="28" spans="1:3" ht="13.2" x14ac:dyDescent="0.25">
      <c r="A28" s="3" t="s">
        <v>105</v>
      </c>
      <c r="B28" s="3">
        <v>40</v>
      </c>
      <c r="C28" s="3">
        <v>75</v>
      </c>
    </row>
    <row r="29" spans="1:3" ht="13.2" x14ac:dyDescent="0.25">
      <c r="A29" s="3" t="s">
        <v>107</v>
      </c>
      <c r="B29" s="3">
        <v>65</v>
      </c>
      <c r="C29" s="3">
        <v>45</v>
      </c>
    </row>
    <row r="30" spans="1:3" ht="13.2" x14ac:dyDescent="0.25">
      <c r="A30" s="3" t="s">
        <v>106</v>
      </c>
      <c r="B30" s="3">
        <v>55</v>
      </c>
      <c r="C30" s="3">
        <v>65</v>
      </c>
    </row>
    <row r="31" spans="1:3" ht="13.2" x14ac:dyDescent="0.25">
      <c r="A31" s="3" t="s">
        <v>108</v>
      </c>
      <c r="B31" s="3">
        <v>70</v>
      </c>
      <c r="C31" s="3">
        <v>30</v>
      </c>
    </row>
    <row r="32" spans="1:3" ht="13.2" x14ac:dyDescent="0.25">
      <c r="A32" s="3" t="s">
        <v>105</v>
      </c>
      <c r="B32" s="3">
        <v>45</v>
      </c>
      <c r="C32" s="3">
        <v>0</v>
      </c>
    </row>
    <row r="33" spans="1:3" ht="13.2" x14ac:dyDescent="0.25">
      <c r="A33" s="3" t="s">
        <v>106</v>
      </c>
      <c r="B33" s="3">
        <v>25</v>
      </c>
      <c r="C33" s="3">
        <v>80</v>
      </c>
    </row>
    <row r="34" spans="1:3" ht="13.2" x14ac:dyDescent="0.25">
      <c r="A34" s="3" t="s">
        <v>107</v>
      </c>
      <c r="B34" s="3">
        <v>35</v>
      </c>
      <c r="C34" s="3">
        <v>60</v>
      </c>
    </row>
    <row r="35" spans="1:3" ht="13.2" x14ac:dyDescent="0.25">
      <c r="A35" s="3" t="s">
        <v>105</v>
      </c>
      <c r="B35" s="3">
        <v>60</v>
      </c>
      <c r="C35" s="3">
        <v>100</v>
      </c>
    </row>
    <row r="36" spans="1:3" ht="13.2" x14ac:dyDescent="0.25">
      <c r="A36" s="3" t="s">
        <v>106</v>
      </c>
      <c r="B36" s="3">
        <v>80</v>
      </c>
      <c r="C36" s="3">
        <v>30</v>
      </c>
    </row>
    <row r="37" spans="1:3" ht="13.2" x14ac:dyDescent="0.25">
      <c r="A37" s="3" t="s">
        <v>108</v>
      </c>
      <c r="B37" s="3">
        <v>40</v>
      </c>
      <c r="C37" s="3">
        <v>0</v>
      </c>
    </row>
    <row r="38" spans="1:3" ht="13.2" x14ac:dyDescent="0.25">
      <c r="A38" s="3" t="s">
        <v>109</v>
      </c>
      <c r="B38" s="3">
        <v>65</v>
      </c>
      <c r="C38" s="3">
        <v>55</v>
      </c>
    </row>
    <row r="39" spans="1:3" ht="13.2" x14ac:dyDescent="0.25">
      <c r="A39" s="3" t="s">
        <v>107</v>
      </c>
      <c r="B39" s="3">
        <v>55</v>
      </c>
      <c r="C39" s="3">
        <v>70</v>
      </c>
    </row>
    <row r="40" spans="1:3" ht="13.2" x14ac:dyDescent="0.25">
      <c r="A40" s="3" t="s">
        <v>106</v>
      </c>
      <c r="B40" s="3">
        <v>70</v>
      </c>
      <c r="C40" s="3">
        <v>85</v>
      </c>
    </row>
    <row r="41" spans="1:3" ht="13.2" x14ac:dyDescent="0.25">
      <c r="A41" s="3" t="s">
        <v>105</v>
      </c>
      <c r="B41" s="3">
        <v>40</v>
      </c>
      <c r="C41" s="3">
        <v>50</v>
      </c>
    </row>
    <row r="42" spans="1:3" ht="13.2" x14ac:dyDescent="0.25">
      <c r="A42" s="3" t="s">
        <v>107</v>
      </c>
      <c r="B42" s="3">
        <v>20</v>
      </c>
      <c r="C42" s="3">
        <v>95</v>
      </c>
    </row>
    <row r="43" spans="1:3" ht="13.2" x14ac:dyDescent="0.25">
      <c r="A43" s="3" t="s">
        <v>106</v>
      </c>
      <c r="B43" s="3">
        <v>90</v>
      </c>
      <c r="C43" s="3">
        <v>75</v>
      </c>
    </row>
    <row r="44" spans="1:3" ht="13.2" x14ac:dyDescent="0.25">
      <c r="A44" s="3" t="s">
        <v>108</v>
      </c>
      <c r="B44" s="3">
        <v>50</v>
      </c>
      <c r="C44" s="3">
        <v>45</v>
      </c>
    </row>
    <row r="45" spans="1:3" ht="13.2" x14ac:dyDescent="0.25">
      <c r="A45" s="3" t="s">
        <v>105</v>
      </c>
      <c r="B45" s="3">
        <v>60</v>
      </c>
      <c r="C45" s="3">
        <v>65</v>
      </c>
    </row>
    <row r="46" spans="1:3" ht="13.2" x14ac:dyDescent="0.25">
      <c r="A46" s="3" t="s">
        <v>106</v>
      </c>
      <c r="B46" s="3">
        <v>45</v>
      </c>
      <c r="C46" s="3">
        <v>0</v>
      </c>
    </row>
    <row r="47" spans="1:3" ht="13.2" x14ac:dyDescent="0.25">
      <c r="A47" s="3" t="s">
        <v>107</v>
      </c>
      <c r="B47" s="3">
        <v>25</v>
      </c>
      <c r="C47" s="3">
        <v>0</v>
      </c>
    </row>
  </sheetData>
  <mergeCells count="2">
    <mergeCell ref="I4:J4"/>
    <mergeCell ref="D8:E8"/>
  </mergeCells>
  <dataValidations count="1">
    <dataValidation type="list" allowBlank="1" showInputMessage="1" showErrorMessage="1" sqref="I2" xr:uid="{46F438FF-1EA6-4B4F-B644-52F2E5BB3C9E}">
      <formula1>$D$2:$D$6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Salvo Cangialosi</dc:creator>
  <cp:lastModifiedBy>Salvo Cangialosi</cp:lastModifiedBy>
  <dcterms:created xsi:type="dcterms:W3CDTF">2025-11-01T14:24:26Z</dcterms:created>
  <dcterms:modified xsi:type="dcterms:W3CDTF">2025-11-08T09:18:07Z</dcterms:modified>
</cp:coreProperties>
</file>